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/>
  <xr:revisionPtr revIDLastSave="0" documentId="8_{BA04A355-84DD-4049-8F90-AE9C178C8BC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heet1" sheetId="1" r:id="rId1"/>
    <sheet name="Sheet2" sheetId="4" r:id="rId2"/>
    <sheet name="Sheet3" sheetId="5" r:id="rId3"/>
  </sheets>
  <calcPr calcId="191028"/>
  <pivotCaches>
    <pivotCache cacheId="13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4" i="1" l="1"/>
  <c r="B67" i="1"/>
  <c r="G55" i="1"/>
  <c r="E73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A406" i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179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F295" i="1"/>
  <c r="A456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79" i="1"/>
  <c r="A378" i="1"/>
  <c r="A377" i="1"/>
  <c r="A376" i="1"/>
  <c r="B375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3" i="1"/>
  <c r="A302" i="1"/>
  <c r="A301" i="1"/>
  <c r="G281" i="1"/>
  <c r="B381" i="1" s="1"/>
  <c r="G282" i="1"/>
  <c r="B382" i="1" s="1"/>
  <c r="G283" i="1"/>
  <c r="B383" i="1" s="1"/>
  <c r="G284" i="1"/>
  <c r="B384" i="1" s="1"/>
  <c r="G285" i="1"/>
  <c r="B385" i="1" s="1"/>
  <c r="G286" i="1"/>
  <c r="B386" i="1" s="1"/>
  <c r="G287" i="1"/>
  <c r="B387" i="1" s="1"/>
  <c r="G288" i="1"/>
  <c r="B388" i="1" s="1"/>
  <c r="G289" i="1"/>
  <c r="B389" i="1" s="1"/>
  <c r="G290" i="1"/>
  <c r="B390" i="1" s="1"/>
  <c r="G291" i="1"/>
  <c r="B391" i="1" s="1"/>
  <c r="G292" i="1"/>
  <c r="B392" i="1" s="1"/>
  <c r="G293" i="1"/>
  <c r="B393" i="1" s="1"/>
  <c r="G294" i="1"/>
  <c r="B394" i="1" s="1"/>
  <c r="G295" i="1"/>
  <c r="B395" i="1" s="1"/>
  <c r="G296" i="1"/>
  <c r="B396" i="1" s="1"/>
  <c r="G297" i="1"/>
  <c r="B397" i="1" s="1"/>
  <c r="G298" i="1"/>
  <c r="B398" i="1" s="1"/>
  <c r="G299" i="1"/>
  <c r="B399" i="1" s="1"/>
  <c r="F281" i="1"/>
  <c r="B361" i="1" s="1"/>
  <c r="F282" i="1"/>
  <c r="B362" i="1" s="1"/>
  <c r="F283" i="1"/>
  <c r="B363" i="1" s="1"/>
  <c r="F284" i="1"/>
  <c r="B364" i="1" s="1"/>
  <c r="F285" i="1"/>
  <c r="B365" i="1" s="1"/>
  <c r="F286" i="1"/>
  <c r="B366" i="1" s="1"/>
  <c r="F287" i="1"/>
  <c r="B367" i="1" s="1"/>
  <c r="F288" i="1"/>
  <c r="B368" i="1" s="1"/>
  <c r="F289" i="1"/>
  <c r="B369" i="1" s="1"/>
  <c r="F290" i="1"/>
  <c r="B370" i="1" s="1"/>
  <c r="F291" i="1"/>
  <c r="B371" i="1" s="1"/>
  <c r="F292" i="1"/>
  <c r="B372" i="1" s="1"/>
  <c r="F293" i="1"/>
  <c r="B373" i="1" s="1"/>
  <c r="F294" i="1"/>
  <c r="B374" i="1" s="1"/>
  <c r="F296" i="1"/>
  <c r="B376" i="1" s="1"/>
  <c r="F297" i="1"/>
  <c r="B377" i="1" s="1"/>
  <c r="F298" i="1"/>
  <c r="B378" i="1" s="1"/>
  <c r="F299" i="1"/>
  <c r="B379" i="1" s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D281" i="1"/>
  <c r="B321" i="1" s="1"/>
  <c r="D282" i="1"/>
  <c r="B322" i="1" s="1"/>
  <c r="D283" i="1"/>
  <c r="B323" i="1" s="1"/>
  <c r="D284" i="1"/>
  <c r="B324" i="1" s="1"/>
  <c r="D285" i="1"/>
  <c r="B325" i="1" s="1"/>
  <c r="D286" i="1"/>
  <c r="B326" i="1" s="1"/>
  <c r="D287" i="1"/>
  <c r="B327" i="1" s="1"/>
  <c r="D288" i="1"/>
  <c r="B328" i="1" s="1"/>
  <c r="D289" i="1"/>
  <c r="B329" i="1" s="1"/>
  <c r="D290" i="1"/>
  <c r="B330" i="1" s="1"/>
  <c r="D291" i="1"/>
  <c r="B331" i="1" s="1"/>
  <c r="D292" i="1"/>
  <c r="B332" i="1" s="1"/>
  <c r="D293" i="1"/>
  <c r="B333" i="1" s="1"/>
  <c r="D294" i="1"/>
  <c r="B334" i="1" s="1"/>
  <c r="D295" i="1"/>
  <c r="B335" i="1" s="1"/>
  <c r="D296" i="1"/>
  <c r="B336" i="1" s="1"/>
  <c r="D297" i="1"/>
  <c r="B337" i="1" s="1"/>
  <c r="D298" i="1"/>
  <c r="B338" i="1" s="1"/>
  <c r="D299" i="1"/>
  <c r="B339" i="1" s="1"/>
  <c r="C281" i="1"/>
  <c r="B301" i="1" s="1"/>
  <c r="C282" i="1"/>
  <c r="B302" i="1" s="1"/>
  <c r="C283" i="1"/>
  <c r="B303" i="1" s="1"/>
  <c r="C284" i="1"/>
  <c r="B304" i="1" s="1"/>
  <c r="C285" i="1"/>
  <c r="B305" i="1" s="1"/>
  <c r="C286" i="1"/>
  <c r="B306" i="1" s="1"/>
  <c r="C287" i="1"/>
  <c r="B307" i="1" s="1"/>
  <c r="C288" i="1"/>
  <c r="B308" i="1" s="1"/>
  <c r="C289" i="1"/>
  <c r="B309" i="1" s="1"/>
  <c r="C290" i="1"/>
  <c r="B310" i="1" s="1"/>
  <c r="C291" i="1"/>
  <c r="B311" i="1" s="1"/>
  <c r="C292" i="1"/>
  <c r="B312" i="1" s="1"/>
  <c r="C293" i="1"/>
  <c r="B313" i="1" s="1"/>
  <c r="C294" i="1"/>
  <c r="B314" i="1" s="1"/>
  <c r="C295" i="1"/>
  <c r="B315" i="1" s="1"/>
  <c r="C296" i="1"/>
  <c r="B316" i="1" s="1"/>
  <c r="C297" i="1"/>
  <c r="B317" i="1" s="1"/>
  <c r="C298" i="1"/>
  <c r="B318" i="1" s="1"/>
  <c r="C299" i="1"/>
  <c r="B319" i="1" s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E280" i="1"/>
  <c r="M306" i="1" s="1"/>
  <c r="F280" i="1"/>
  <c r="N306" i="1" s="1"/>
  <c r="G280" i="1"/>
  <c r="O306" i="1" s="1"/>
  <c r="D280" i="1"/>
  <c r="L306" i="1" s="1"/>
  <c r="C280" i="1"/>
  <c r="K306" i="1" s="1"/>
  <c r="B280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8" i="1"/>
  <c r="B69" i="1"/>
  <c r="B70" i="1"/>
  <c r="B71" i="1"/>
  <c r="B72" i="1"/>
  <c r="B73" i="1"/>
  <c r="C54" i="1"/>
  <c r="D54" i="1"/>
  <c r="E54" i="1"/>
  <c r="F54" i="1"/>
  <c r="G54" i="1"/>
  <c r="D73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A229" i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H49" i="1"/>
  <c r="A54" i="1"/>
  <c r="B154" i="1"/>
  <c r="B134" i="1"/>
  <c r="B114" i="1"/>
  <c r="B74" i="1"/>
  <c r="J306" i="1" l="1"/>
  <c r="J305" i="1"/>
  <c r="H173" i="1"/>
  <c r="J307" i="1"/>
  <c r="K307" i="1"/>
  <c r="K305" i="1"/>
  <c r="L307" i="1"/>
  <c r="L305" i="1"/>
  <c r="O307" i="1"/>
  <c r="O305" i="1"/>
  <c r="N307" i="1"/>
  <c r="N305" i="1"/>
  <c r="M307" i="1"/>
  <c r="M305" i="1"/>
  <c r="L174" i="1"/>
  <c r="L173" i="1"/>
  <c r="L172" i="1"/>
  <c r="K174" i="1"/>
  <c r="K173" i="1"/>
  <c r="K172" i="1"/>
  <c r="J174" i="1"/>
  <c r="J173" i="1"/>
  <c r="J172" i="1"/>
  <c r="I174" i="1"/>
  <c r="I173" i="1"/>
  <c r="I172" i="1"/>
  <c r="H174" i="1"/>
  <c r="H172" i="1"/>
  <c r="G174" i="1"/>
  <c r="G173" i="1"/>
  <c r="G172" i="1"/>
  <c r="A180" i="1"/>
  <c r="A280" i="1"/>
  <c r="A300" i="1"/>
  <c r="B300" i="1"/>
  <c r="B320" i="1"/>
  <c r="B380" i="1"/>
  <c r="B360" i="1"/>
  <c r="B340" i="1"/>
  <c r="B455" i="1"/>
  <c r="B456" i="1"/>
  <c r="A457" i="1"/>
  <c r="B457" i="1" s="1"/>
  <c r="B94" i="1"/>
  <c r="A154" i="1"/>
  <c r="A134" i="1"/>
  <c r="A74" i="1"/>
  <c r="A94" i="1"/>
  <c r="A114" i="1"/>
  <c r="F172" i="1" l="1"/>
  <c r="F174" i="1"/>
  <c r="I305" i="1"/>
  <c r="I307" i="1"/>
  <c r="I306" i="1"/>
  <c r="B179" i="1"/>
  <c r="F173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04" i="1"/>
  <c r="B405" i="1"/>
  <c r="B180" i="1"/>
  <c r="A181" i="1"/>
  <c r="A380" i="1"/>
  <c r="A360" i="1"/>
  <c r="A340" i="1"/>
  <c r="A320" i="1"/>
  <c r="A458" i="1"/>
  <c r="B458" i="1" s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178" i="1"/>
  <c r="B277" i="1"/>
  <c r="B177" i="1"/>
  <c r="B181" i="1" l="1"/>
  <c r="A182" i="1"/>
  <c r="A459" i="1"/>
  <c r="B459" i="1" s="1"/>
  <c r="B182" i="1" l="1"/>
  <c r="A183" i="1"/>
  <c r="A460" i="1"/>
  <c r="B460" i="1" s="1"/>
  <c r="B183" i="1" l="1"/>
  <c r="A184" i="1"/>
  <c r="A461" i="1"/>
  <c r="B461" i="1" s="1"/>
  <c r="B184" i="1" l="1"/>
  <c r="A185" i="1"/>
  <c r="A462" i="1"/>
  <c r="B462" i="1" s="1"/>
  <c r="B185" i="1" l="1"/>
  <c r="A186" i="1"/>
  <c r="A463" i="1"/>
  <c r="B463" i="1" s="1"/>
  <c r="B186" i="1" l="1"/>
  <c r="A187" i="1"/>
  <c r="A464" i="1"/>
  <c r="B464" i="1" s="1"/>
  <c r="B187" i="1" l="1"/>
  <c r="A188" i="1"/>
  <c r="A465" i="1"/>
  <c r="B465" i="1" s="1"/>
  <c r="B504" i="1" s="1"/>
  <c r="B188" i="1" l="1"/>
  <c r="A189" i="1"/>
  <c r="A466" i="1"/>
  <c r="B466" i="1" s="1"/>
  <c r="B189" i="1" l="1"/>
  <c r="A190" i="1"/>
  <c r="A467" i="1"/>
  <c r="B467" i="1" s="1"/>
  <c r="B190" i="1" l="1"/>
  <c r="A191" i="1"/>
  <c r="A468" i="1"/>
  <c r="B468" i="1" s="1"/>
  <c r="B191" i="1" l="1"/>
  <c r="A192" i="1"/>
  <c r="A469" i="1"/>
  <c r="B469" i="1" s="1"/>
  <c r="B192" i="1" l="1"/>
  <c r="A193" i="1"/>
  <c r="A470" i="1"/>
  <c r="B470" i="1" s="1"/>
  <c r="B193" i="1" l="1"/>
  <c r="A194" i="1"/>
  <c r="A471" i="1"/>
  <c r="B471" i="1" s="1"/>
  <c r="B194" i="1" l="1"/>
  <c r="A195" i="1"/>
  <c r="A472" i="1"/>
  <c r="B472" i="1" s="1"/>
  <c r="B195" i="1" l="1"/>
  <c r="A196" i="1"/>
  <c r="A473" i="1"/>
  <c r="B473" i="1" s="1"/>
  <c r="B196" i="1" l="1"/>
  <c r="A197" i="1"/>
  <c r="A474" i="1"/>
  <c r="B474" i="1" s="1"/>
  <c r="B197" i="1" l="1"/>
  <c r="A198" i="1"/>
  <c r="A475" i="1"/>
  <c r="B475" i="1" s="1"/>
  <c r="B198" i="1" l="1"/>
  <c r="A199" i="1"/>
  <c r="A476" i="1"/>
  <c r="B476" i="1" s="1"/>
  <c r="B199" i="1" l="1"/>
  <c r="A200" i="1"/>
  <c r="A477" i="1"/>
  <c r="B477" i="1" s="1"/>
  <c r="B200" i="1" l="1"/>
  <c r="A201" i="1"/>
  <c r="A478" i="1"/>
  <c r="B478" i="1" s="1"/>
  <c r="B201" i="1" l="1"/>
  <c r="A202" i="1"/>
  <c r="A479" i="1"/>
  <c r="B479" i="1" s="1"/>
  <c r="B202" i="1" l="1"/>
  <c r="A203" i="1"/>
  <c r="A480" i="1"/>
  <c r="B480" i="1" s="1"/>
  <c r="B203" i="1" l="1"/>
  <c r="A204" i="1"/>
  <c r="A481" i="1"/>
  <c r="B481" i="1" s="1"/>
  <c r="B204" i="1" l="1"/>
  <c r="A205" i="1"/>
  <c r="A482" i="1"/>
  <c r="B482" i="1" s="1"/>
  <c r="B205" i="1" l="1"/>
  <c r="A206" i="1"/>
  <c r="A483" i="1"/>
  <c r="B483" i="1" s="1"/>
  <c r="B206" i="1" l="1"/>
  <c r="A207" i="1"/>
  <c r="A484" i="1"/>
  <c r="B484" i="1" s="1"/>
  <c r="B207" i="1" l="1"/>
  <c r="A208" i="1"/>
  <c r="A485" i="1"/>
  <c r="B485" i="1" s="1"/>
  <c r="B208" i="1" l="1"/>
  <c r="A209" i="1"/>
  <c r="A486" i="1"/>
  <c r="B486" i="1" s="1"/>
  <c r="B209" i="1" l="1"/>
  <c r="A210" i="1"/>
  <c r="A487" i="1"/>
  <c r="B487" i="1" s="1"/>
  <c r="B210" i="1" l="1"/>
  <c r="A211" i="1"/>
  <c r="A488" i="1"/>
  <c r="B488" i="1" s="1"/>
  <c r="B211" i="1" l="1"/>
  <c r="A212" i="1"/>
  <c r="A489" i="1"/>
  <c r="B489" i="1" s="1"/>
  <c r="B212" i="1" l="1"/>
  <c r="A213" i="1"/>
  <c r="A490" i="1"/>
  <c r="B490" i="1" s="1"/>
  <c r="B213" i="1" l="1"/>
  <c r="A214" i="1"/>
  <c r="A491" i="1"/>
  <c r="B491" i="1" s="1"/>
  <c r="B214" i="1" l="1"/>
  <c r="A215" i="1"/>
  <c r="A492" i="1"/>
  <c r="B492" i="1" s="1"/>
  <c r="B215" i="1" l="1"/>
  <c r="A216" i="1"/>
  <c r="A493" i="1"/>
  <c r="B493" i="1" s="1"/>
  <c r="B216" i="1" l="1"/>
  <c r="A217" i="1"/>
  <c r="A494" i="1"/>
  <c r="B494" i="1" s="1"/>
  <c r="B217" i="1" l="1"/>
  <c r="A218" i="1"/>
  <c r="A495" i="1"/>
  <c r="B495" i="1" s="1"/>
  <c r="B218" i="1" l="1"/>
  <c r="A219" i="1"/>
  <c r="A496" i="1"/>
  <c r="B496" i="1" s="1"/>
  <c r="B219" i="1" l="1"/>
  <c r="A220" i="1"/>
  <c r="A497" i="1"/>
  <c r="B497" i="1" s="1"/>
  <c r="B220" i="1" l="1"/>
  <c r="A221" i="1"/>
  <c r="A498" i="1"/>
  <c r="B498" i="1" s="1"/>
  <c r="B221" i="1" l="1"/>
  <c r="A222" i="1"/>
  <c r="A499" i="1"/>
  <c r="B499" i="1" s="1"/>
  <c r="B222" i="1" l="1"/>
  <c r="A223" i="1"/>
  <c r="A500" i="1"/>
  <c r="B500" i="1" s="1"/>
  <c r="B223" i="1" l="1"/>
  <c r="A224" i="1"/>
  <c r="A501" i="1"/>
  <c r="B501" i="1" s="1"/>
  <c r="B224" i="1" l="1"/>
  <c r="A225" i="1"/>
  <c r="A502" i="1"/>
  <c r="B502" i="1" s="1"/>
  <c r="B225" i="1" l="1"/>
  <c r="A226" i="1"/>
  <c r="A503" i="1"/>
  <c r="B503" i="1" s="1"/>
  <c r="B226" i="1" l="1"/>
  <c r="A227" i="1"/>
  <c r="B227" i="1" s="1"/>
</calcChain>
</file>

<file path=xl/sharedStrings.xml><?xml version="1.0" encoding="utf-8"?>
<sst xmlns="http://schemas.openxmlformats.org/spreadsheetml/2006/main" count="146" uniqueCount="66">
  <si>
    <t>Company Name</t>
  </si>
  <si>
    <t>Total Revenue/Net Sales(M)</t>
  </si>
  <si>
    <t>Operating Profits(M)</t>
  </si>
  <si>
    <t>Basic Earnings Per Share (EPS)($)</t>
  </si>
  <si>
    <t>Research and Development (R&amp;D) (M)</t>
  </si>
  <si>
    <t>Total Employees</t>
  </si>
  <si>
    <t>Operating Margin (%)</t>
  </si>
  <si>
    <t>ASTAZENECA</t>
  </si>
  <si>
    <t>BRISTOL MYERS SQUIBB</t>
  </si>
  <si>
    <t>HOFFMANN-LA ROCHE (CHF)</t>
  </si>
  <si>
    <t>PFIZER</t>
  </si>
  <si>
    <t>TAKEDA PHARMS (yen)</t>
  </si>
  <si>
    <t>EMD SERONO INC (euro)</t>
  </si>
  <si>
    <t>NOVARTIS PHARM</t>
  </si>
  <si>
    <t>BLUEPRINT MEDICINES</t>
  </si>
  <si>
    <t>ELI LILLY AND COMPANY</t>
  </si>
  <si>
    <t>MODERNA INC</t>
  </si>
  <si>
    <t>GSK (pounds)</t>
  </si>
  <si>
    <t>AMGEN</t>
  </si>
  <si>
    <t>MILLENNIUM</t>
  </si>
  <si>
    <t>EXELIXIS INC</t>
  </si>
  <si>
    <t>ONYX HEALTHCARE</t>
  </si>
  <si>
    <t>REGENERON PHARMAS</t>
  </si>
  <si>
    <t>DAIICHI SANKYO (yen)</t>
  </si>
  <si>
    <t>BAYER (euro)</t>
  </si>
  <si>
    <t>**The table above represents all the actual values** --approx 8h 30m</t>
  </si>
  <si>
    <t>BIOMARIN</t>
  </si>
  <si>
    <t>e6 was converted to yen from usd 4.8b as of july 9</t>
  </si>
  <si>
    <t>EISAI (yen)</t>
  </si>
  <si>
    <t>time spent (mins including inputing)</t>
  </si>
  <si>
    <t>**The table above represents data from CHAT GPT 4o the actual values**-- approx 1 hour 27m</t>
  </si>
  <si>
    <t>absolute error margin percentage</t>
  </si>
  <si>
    <t>error count</t>
  </si>
  <si>
    <t>*absolute percentage error below*</t>
  </si>
  <si>
    <t>&lt;1%</t>
  </si>
  <si>
    <t>Total Revenue/Net Sales</t>
  </si>
  <si>
    <t>Operating Profits</t>
  </si>
  <si>
    <t>Basic Earnings Per Share (EPS)</t>
  </si>
  <si>
    <t>Research and Development (R&amp;D)</t>
  </si>
  <si>
    <t>Operating Margin</t>
  </si>
  <si>
    <t>1%≤x&lt;10%</t>
  </si>
  <si>
    <t>10%≤x&lt;100%</t>
  </si>
  <si>
    <t>≥100%</t>
  </si>
  <si>
    <t>HOFFMANN-LA ROCHE</t>
  </si>
  <si>
    <t>TAKEDA PHARMS</t>
  </si>
  <si>
    <t>EMD SERONO INC</t>
  </si>
  <si>
    <t>GSK</t>
  </si>
  <si>
    <t>DAIICHI SANKYO</t>
  </si>
  <si>
    <t>BAYER</t>
  </si>
  <si>
    <t>EISAI</t>
  </si>
  <si>
    <t>Absolute Percentage of Error</t>
  </si>
  <si>
    <t>Full Sample</t>
  </si>
  <si>
    <t>Total Revenue/ Net Sales</t>
  </si>
  <si>
    <t>Average</t>
  </si>
  <si>
    <t>Median</t>
  </si>
  <si>
    <t>St.Dev</t>
  </si>
  <si>
    <t>k-percentile of errors (absolute)</t>
  </si>
  <si>
    <t xml:space="preserve">Research and Development </t>
  </si>
  <si>
    <t xml:space="preserve">Operating Margin </t>
  </si>
  <si>
    <t xml:space="preserve">TAKEDA PHARMS </t>
  </si>
  <si>
    <t xml:space="preserve">BAYER </t>
  </si>
  <si>
    <t>Percentage of Error</t>
  </si>
  <si>
    <t>k-percentile of errors</t>
  </si>
  <si>
    <t>Row Labels</t>
  </si>
  <si>
    <t>Average of Field2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</si>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</sst>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b/>
      <sz val="11"/>
      <color rgb="FF242424"/>
      <name val="Aptos Narrow"/>
    </font>
    <font>
      <b/>
      <sz val="11"/>
      <color theme="1"/>
      <name val="Aptos Narrow"/>
      <family val="2"/>
      <scheme val="minor"/>
    </font>
    <font>
      <b/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10" fontId="0" fillId="0" borderId="0" xfId="0" applyNumberFormat="1"/>
    <xf numFmtId="0" fontId="4" fillId="0" borderId="0" xfId="0" applyFont="1"/>
    <xf numFmtId="0" fontId="0" fillId="0" borderId="1" xfId="0" applyBorder="1"/>
    <xf numFmtId="0" fontId="5" fillId="6" borderId="2" xfId="0" applyFont="1" applyFill="1" applyBorder="1" applyAlignment="1">
      <alignment wrapText="1"/>
    </xf>
    <xf numFmtId="0" fontId="5" fillId="0" borderId="2" xfId="0" applyFont="1" applyBorder="1"/>
    <xf numFmtId="164" fontId="0" fillId="0" borderId="0" xfId="0" applyNumberFormat="1"/>
    <xf numFmtId="10" fontId="0" fillId="0" borderId="2" xfId="0" applyNumberFormat="1" applyBorder="1"/>
    <xf numFmtId="1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5" xfId="0" applyNumberFormat="1" applyBorder="1"/>
    <xf numFmtId="0" fontId="5" fillId="0" borderId="3" xfId="0" applyFont="1" applyBorder="1"/>
    <xf numFmtId="0" fontId="3" fillId="2" borderId="1" xfId="0" applyFont="1" applyFill="1" applyBorder="1"/>
    <xf numFmtId="0" fontId="3" fillId="0" borderId="1" xfId="0" applyFont="1" applyBorder="1"/>
    <xf numFmtId="3" fontId="0" fillId="0" borderId="1" xfId="0" applyNumberFormat="1" applyBorder="1"/>
    <xf numFmtId="0" fontId="3" fillId="3" borderId="1" xfId="0" applyFont="1" applyFill="1" applyBorder="1"/>
    <xf numFmtId="10" fontId="3" fillId="0" borderId="1" xfId="0" applyNumberFormat="1" applyFont="1" applyBorder="1"/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4" borderId="1" xfId="0" applyFont="1" applyFill="1" applyBorder="1"/>
    <xf numFmtId="0" fontId="0" fillId="0" borderId="5" xfId="0" applyBorder="1"/>
    <xf numFmtId="164" fontId="0" fillId="0" borderId="1" xfId="0" applyNumberFormat="1" applyBorder="1"/>
    <xf numFmtId="10" fontId="0" fillId="7" borderId="1" xfId="0" applyNumberFormat="1" applyFill="1" applyBorder="1"/>
    <xf numFmtId="10" fontId="0" fillId="5" borderId="1" xfId="0" applyNumberFormat="1" applyFill="1" applyBorder="1"/>
    <xf numFmtId="10" fontId="0" fillId="8" borderId="1" xfId="0" applyNumberFormat="1" applyFill="1" applyBorder="1"/>
    <xf numFmtId="10" fontId="0" fillId="9" borderId="1" xfId="0" applyNumberFormat="1" applyFill="1" applyBorder="1"/>
    <xf numFmtId="0" fontId="5" fillId="10" borderId="6" xfId="0" applyFont="1" applyFill="1" applyBorder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/>
    <xf numFmtId="0" fontId="6" fillId="0" borderId="3" xfId="0" applyFont="1" applyBorder="1"/>
    <xf numFmtId="0" fontId="5" fillId="0" borderId="4" xfId="0" applyFont="1" applyBorder="1"/>
    <xf numFmtId="0" fontId="5" fillId="0" borderId="2" xfId="0" applyFont="1" applyBorder="1" applyAlignment="1">
      <alignment wrapText="1"/>
    </xf>
    <xf numFmtId="0" fontId="6" fillId="0" borderId="1" xfId="0" applyFont="1" applyBorder="1"/>
    <xf numFmtId="0" fontId="0" fillId="0" borderId="7" xfId="0" applyBorder="1"/>
    <xf numFmtId="0" fontId="0" fillId="0" borderId="8" xfId="0" applyBorder="1"/>
    <xf numFmtId="10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Occurences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F-468C-ABD9-EFAE307090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F-468C-ABD9-EFAE307090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8F-468C-ABD9-EFAE307090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8F-468C-ABD9-EFAE307090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Sheet1!$I$52:$I$55</c:f>
              <c:strCache>
                <c:ptCount val="4"/>
                <c:pt idx="0">
                  <c:v>&lt;1%</c:v>
                </c:pt>
                <c:pt idx="1">
                  <c:v>1%≤x&lt;10%</c:v>
                </c:pt>
                <c:pt idx="2">
                  <c:v>10%≤x&lt;100%</c:v>
                </c:pt>
                <c:pt idx="3">
                  <c:v>≥100%</c:v>
                </c:pt>
              </c:strCache>
            </c:strRef>
          </c:cat>
          <c:val>
            <c:numRef>
              <c:f>Sheet1!$J$52:$J$55</c:f>
              <c:numCache>
                <c:formatCode>General</c:formatCode>
                <c:ptCount val="4"/>
                <c:pt idx="0">
                  <c:v>19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D-46E1-8777-D0EB3F69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Error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Sheet1!$J$304:$O$304</c:f>
              <c:strCache>
                <c:ptCount val="6"/>
                <c:pt idx="0">
                  <c:v>Total Revenue/ Net Sales</c:v>
                </c:pt>
                <c:pt idx="1">
                  <c:v>Operating Profits</c:v>
                </c:pt>
                <c:pt idx="2">
                  <c:v>Basic Earnings Per Share (EPS)</c:v>
                </c:pt>
                <c:pt idx="3">
                  <c:v>Research and Development (R&amp;D)</c:v>
                </c:pt>
                <c:pt idx="4">
                  <c:v>Total Employees</c:v>
                </c:pt>
                <c:pt idx="5">
                  <c:v>Operating Margin</c:v>
                </c:pt>
              </c:strCache>
            </c:strRef>
          </c:cat>
          <c:val>
            <c:numRef>
              <c:f>Sheet1!$J$305:$O$305</c:f>
              <c:numCache>
                <c:formatCode>0.000%</c:formatCode>
                <c:ptCount val="6"/>
                <c:pt idx="0">
                  <c:v>1.6474472334208345E-3</c:v>
                </c:pt>
                <c:pt idx="1">
                  <c:v>-0.19478588631892482</c:v>
                </c:pt>
                <c:pt idx="2">
                  <c:v>-9.8444895199459093E-2</c:v>
                </c:pt>
                <c:pt idx="3">
                  <c:v>-4.7521042950138065E-2</c:v>
                </c:pt>
                <c:pt idx="4">
                  <c:v>-0.10284090909090908</c:v>
                </c:pt>
                <c:pt idx="5">
                  <c:v>-0.19392468894734527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42-41B2-A29F-C6374DED5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237063"/>
        <c:axId val="1632239111"/>
      </c:barChart>
      <c:catAx>
        <c:axId val="1632237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39111"/>
        <c:crosses val="autoZero"/>
        <c:auto val="1"/>
        <c:lblAlgn val="ctr"/>
        <c:lblOffset val="100"/>
        <c:noMultiLvlLbl val="0"/>
      </c:catAx>
      <c:valAx>
        <c:axId val="1632239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237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Deviation of Error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Sheet1!$J$304:$O$304</c:f>
              <c:strCache>
                <c:ptCount val="6"/>
                <c:pt idx="0">
                  <c:v>Total Revenue/ Net Sales</c:v>
                </c:pt>
                <c:pt idx="1">
                  <c:v>Operating Profits</c:v>
                </c:pt>
                <c:pt idx="2">
                  <c:v>Basic Earnings Per Share (EPS)</c:v>
                </c:pt>
                <c:pt idx="3">
                  <c:v>Research and Development (R&amp;D)</c:v>
                </c:pt>
                <c:pt idx="4">
                  <c:v>Total Employees</c:v>
                </c:pt>
                <c:pt idx="5">
                  <c:v>Operating Margin</c:v>
                </c:pt>
              </c:strCache>
            </c:strRef>
          </c:cat>
          <c:val>
            <c:numRef>
              <c:f>Sheet1!$J$307:$O$307</c:f>
              <c:numCache>
                <c:formatCode>0.00%</c:formatCode>
                <c:ptCount val="6"/>
                <c:pt idx="0">
                  <c:v>7.5997908548872751E-3</c:v>
                </c:pt>
                <c:pt idx="1">
                  <c:v>0.59521974578195758</c:v>
                </c:pt>
                <c:pt idx="2">
                  <c:v>0.44763350802094526</c:v>
                </c:pt>
                <c:pt idx="3">
                  <c:v>0.22761362870537996</c:v>
                </c:pt>
                <c:pt idx="4">
                  <c:v>0.30708332952167466</c:v>
                </c:pt>
                <c:pt idx="5">
                  <c:v>0.59488428871573418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D5-4A88-A54E-082BFAAB6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935111"/>
        <c:axId val="1589957639"/>
      </c:barChart>
      <c:catAx>
        <c:axId val="1589935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57639"/>
        <c:crosses val="autoZero"/>
        <c:auto val="1"/>
        <c:lblAlgn val="ctr"/>
        <c:lblOffset val="100"/>
        <c:noMultiLvlLbl val="0"/>
      </c:catAx>
      <c:valAx>
        <c:axId val="1589957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35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Average Error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Sheet1!$G$171:$L$171</c:f>
              <c:strCache>
                <c:ptCount val="6"/>
                <c:pt idx="0">
                  <c:v>Total Revenue/ Net Sales</c:v>
                </c:pt>
                <c:pt idx="1">
                  <c:v>Operating Profits</c:v>
                </c:pt>
                <c:pt idx="2">
                  <c:v>Basic Earnings Per Share (EPS)</c:v>
                </c:pt>
                <c:pt idx="3">
                  <c:v>Research and Development (R&amp;D)</c:v>
                </c:pt>
                <c:pt idx="4">
                  <c:v>Total Employees</c:v>
                </c:pt>
                <c:pt idx="5">
                  <c:v>Operating Margin</c:v>
                </c:pt>
              </c:strCache>
            </c:strRef>
          </c:cat>
          <c:val>
            <c:numRef>
              <c:f>Sheet1!$G$172:$L$172</c:f>
              <c:numCache>
                <c:formatCode>0.000%</c:formatCode>
                <c:ptCount val="6"/>
                <c:pt idx="0">
                  <c:v>1.7546145469860609E-3</c:v>
                </c:pt>
                <c:pt idx="1">
                  <c:v>0.21559949608023293</c:v>
                </c:pt>
                <c:pt idx="2">
                  <c:v>0.1015551048005409</c:v>
                </c:pt>
                <c:pt idx="3">
                  <c:v>6.5836104415813404E-2</c:v>
                </c:pt>
                <c:pt idx="4">
                  <c:v>0.10284090909090908</c:v>
                </c:pt>
                <c:pt idx="5">
                  <c:v>0.21937824352086333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8-41E6-8D26-9DDB3176B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9971719"/>
        <c:axId val="409940999"/>
      </c:barChart>
      <c:catAx>
        <c:axId val="409971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40999"/>
        <c:crosses val="autoZero"/>
        <c:auto val="1"/>
        <c:lblAlgn val="ctr"/>
        <c:lblOffset val="100"/>
        <c:noMultiLvlLbl val="0"/>
      </c:catAx>
      <c:valAx>
        <c:axId val="409940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71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Standard Deviation of Error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C7D2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Sheet1!$G$171:$L$171</c:f>
              <c:strCache>
                <c:ptCount val="6"/>
                <c:pt idx="0">
                  <c:v>Total Revenue/ Net Sales</c:v>
                </c:pt>
                <c:pt idx="1">
                  <c:v>Operating Profits</c:v>
                </c:pt>
                <c:pt idx="2">
                  <c:v>Basic Earnings Per Share (EPS)</c:v>
                </c:pt>
                <c:pt idx="3">
                  <c:v>Research and Development (R&amp;D)</c:v>
                </c:pt>
                <c:pt idx="4">
                  <c:v>Total Employees</c:v>
                </c:pt>
                <c:pt idx="5">
                  <c:v>Operating Margin</c:v>
                </c:pt>
              </c:strCache>
            </c:strRef>
          </c:cat>
          <c:val>
            <c:numRef>
              <c:f>Sheet1!$G$174:$L$174</c:f>
              <c:numCache>
                <c:formatCode>0.00%</c:formatCode>
                <c:ptCount val="6"/>
                <c:pt idx="0">
                  <c:v>7.5744994737910404E-3</c:v>
                </c:pt>
                <c:pt idx="1">
                  <c:v>0.58761840220485739</c:v>
                </c:pt>
                <c:pt idx="2">
                  <c:v>0.44690152890148954</c:v>
                </c:pt>
                <c:pt idx="3">
                  <c:v>0.22276119536454284</c:v>
                </c:pt>
                <c:pt idx="4">
                  <c:v>0.30708332952167466</c:v>
                </c:pt>
                <c:pt idx="5">
                  <c:v>0.58550286292239895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91-4810-9A15-0434CF171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865479"/>
        <c:axId val="965867527"/>
      </c:barChart>
      <c:catAx>
        <c:axId val="965865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67527"/>
        <c:crosses val="autoZero"/>
        <c:auto val="1"/>
        <c:lblAlgn val="ctr"/>
        <c:lblOffset val="100"/>
        <c:noMultiLvlLbl val="0"/>
      </c:catAx>
      <c:valAx>
        <c:axId val="965867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65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k-Percentile of Error (absolute)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Field2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Sheet1!$A$244:$A$277</c:f>
              <c:numCache>
                <c:formatCode>General</c:formatCode>
                <c:ptCount val="34"/>
                <c:pt idx="0">
                  <c:v>67</c:v>
                </c:pt>
                <c:pt idx="1">
                  <c:v>68</c:v>
                </c:pt>
                <c:pt idx="2">
                  <c:v>69</c:v>
                </c:pt>
                <c:pt idx="3">
                  <c:v>70</c:v>
                </c:pt>
                <c:pt idx="4">
                  <c:v>71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75</c:v>
                </c:pt>
                <c:pt idx="9">
                  <c:v>76</c:v>
                </c:pt>
                <c:pt idx="10">
                  <c:v>77</c:v>
                </c:pt>
                <c:pt idx="11">
                  <c:v>78</c:v>
                </c:pt>
                <c:pt idx="12">
                  <c:v>79</c:v>
                </c:pt>
                <c:pt idx="13">
                  <c:v>80</c:v>
                </c:pt>
                <c:pt idx="14">
                  <c:v>81</c:v>
                </c:pt>
                <c:pt idx="15">
                  <c:v>82</c:v>
                </c:pt>
                <c:pt idx="16">
                  <c:v>83</c:v>
                </c:pt>
                <c:pt idx="17">
                  <c:v>84</c:v>
                </c:pt>
                <c:pt idx="18">
                  <c:v>85</c:v>
                </c:pt>
                <c:pt idx="19">
                  <c:v>86</c:v>
                </c:pt>
                <c:pt idx="20">
                  <c:v>87</c:v>
                </c:pt>
                <c:pt idx="21">
                  <c:v>88</c:v>
                </c:pt>
                <c:pt idx="22">
                  <c:v>89</c:v>
                </c:pt>
                <c:pt idx="23">
                  <c:v>90</c:v>
                </c:pt>
                <c:pt idx="24">
                  <c:v>91</c:v>
                </c:pt>
                <c:pt idx="25">
                  <c:v>92</c:v>
                </c:pt>
                <c:pt idx="26">
                  <c:v>93</c:v>
                </c:pt>
                <c:pt idx="27">
                  <c:v>94</c:v>
                </c:pt>
                <c:pt idx="28">
                  <c:v>95</c:v>
                </c:pt>
                <c:pt idx="29">
                  <c:v>96</c:v>
                </c:pt>
                <c:pt idx="30">
                  <c:v>97</c:v>
                </c:pt>
                <c:pt idx="31">
                  <c:v>98</c:v>
                </c:pt>
                <c:pt idx="32">
                  <c:v>99</c:v>
                </c:pt>
                <c:pt idx="33">
                  <c:v>100</c:v>
                </c:pt>
              </c:numCache>
            </c:numRef>
          </c:cat>
          <c:val>
            <c:numRef>
              <c:f>Sheet1!$B$244:$B$277</c:f>
              <c:numCache>
                <c:formatCode>0.00%</c:formatCode>
                <c:ptCount val="34"/>
                <c:pt idx="0">
                  <c:v>3.1908941497138697E-6</c:v>
                </c:pt>
                <c:pt idx="1">
                  <c:v>1.0237146903739902E-5</c:v>
                </c:pt>
                <c:pt idx="2">
                  <c:v>1.8087193151825603E-5</c:v>
                </c:pt>
                <c:pt idx="3">
                  <c:v>2.5973451099892124E-5</c:v>
                </c:pt>
                <c:pt idx="4">
                  <c:v>3.7077888832297474E-5</c:v>
                </c:pt>
                <c:pt idx="5">
                  <c:v>6.9498307359374434E-5</c:v>
                </c:pt>
                <c:pt idx="6">
                  <c:v>8.6793003620129242E-5</c:v>
                </c:pt>
                <c:pt idx="7">
                  <c:v>8.9012250488682592E-5</c:v>
                </c:pt>
                <c:pt idx="8">
                  <c:v>1.139827232269075E-4</c:v>
                </c:pt>
                <c:pt idx="9">
                  <c:v>1.4573910339148893E-4</c:v>
                </c:pt>
                <c:pt idx="10">
                  <c:v>1.6426876987402414E-4</c:v>
                </c:pt>
                <c:pt idx="11">
                  <c:v>2.8008456532919605E-4</c:v>
                </c:pt>
                <c:pt idx="12">
                  <c:v>9.3368221496451615E-4</c:v>
                </c:pt>
                <c:pt idx="13">
                  <c:v>1.9685058468213779E-3</c:v>
                </c:pt>
                <c:pt idx="14">
                  <c:v>2.4438769214036255E-3</c:v>
                </c:pt>
                <c:pt idx="15">
                  <c:v>6.484090181781671E-3</c:v>
                </c:pt>
                <c:pt idx="16">
                  <c:v>1.6213199259447468E-2</c:v>
                </c:pt>
                <c:pt idx="17">
                  <c:v>3.0594208489403748E-2</c:v>
                </c:pt>
                <c:pt idx="18">
                  <c:v>3.1650981642420875E-2</c:v>
                </c:pt>
                <c:pt idx="19">
                  <c:v>3.8048012550464437E-2</c:v>
                </c:pt>
                <c:pt idx="20">
                  <c:v>5.1759477134789414E-2</c:v>
                </c:pt>
                <c:pt idx="21">
                  <c:v>6.4992338404174635E-2</c:v>
                </c:pt>
                <c:pt idx="22">
                  <c:v>0.10279457354093488</c:v>
                </c:pt>
                <c:pt idx="23">
                  <c:v>0.12406890959678619</c:v>
                </c:pt>
                <c:pt idx="24">
                  <c:v>0.20805590650827088</c:v>
                </c:pt>
                <c:pt idx="25">
                  <c:v>0.41732078508204362</c:v>
                </c:pt>
                <c:pt idx="26">
                  <c:v>0.6454949573855786</c:v>
                </c:pt>
                <c:pt idx="27">
                  <c:v>0.95050241905470767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1.6200000000000045</c:v>
                </c:pt>
                <c:pt idx="32">
                  <c:v>2.3666055045871572</c:v>
                </c:pt>
                <c:pt idx="33">
                  <c:v>2.455435587013036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D-415A-8061-3B8422015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544328"/>
        <c:axId val="311554568"/>
      </c:areaChart>
      <c:catAx>
        <c:axId val="31154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54568"/>
        <c:crosses val="autoZero"/>
        <c:auto val="1"/>
        <c:lblAlgn val="ctr"/>
        <c:lblOffset val="100"/>
        <c:noMultiLvlLbl val="0"/>
      </c:catAx>
      <c:valAx>
        <c:axId val="31155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4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k-Percentile of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possibility of error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Sheet1!$A$404:$A$504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Sheet1!$B$404:$B$504</c:f>
              <c:numCache>
                <c:formatCode>0.00%</c:formatCode>
                <c:ptCount val="101"/>
                <c:pt idx="0">
                  <c:v>-2.455435587013036</c:v>
                </c:pt>
                <c:pt idx="1">
                  <c:v>-2.3666055045871559</c:v>
                </c:pt>
                <c:pt idx="2">
                  <c:v>-1.62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-0.95050241905470767</c:v>
                </c:pt>
                <c:pt idx="7">
                  <c:v>-0.6454949573855786</c:v>
                </c:pt>
                <c:pt idx="8">
                  <c:v>-0.36414470114856601</c:v>
                </c:pt>
                <c:pt idx="9">
                  <c:v>-7.114438008560621E-2</c:v>
                </c:pt>
                <c:pt idx="10">
                  <c:v>-3.3806818181818271E-2</c:v>
                </c:pt>
                <c:pt idx="11">
                  <c:v>-1.7547282825716059E-2</c:v>
                </c:pt>
                <c:pt idx="12">
                  <c:v>-7.2813066695112776E-3</c:v>
                </c:pt>
                <c:pt idx="13">
                  <c:v>-2.6131298616819277E-3</c:v>
                </c:pt>
                <c:pt idx="14">
                  <c:v>-1.9691849764875992E-3</c:v>
                </c:pt>
                <c:pt idx="15">
                  <c:v>-1.0798837124662475E-3</c:v>
                </c:pt>
                <c:pt idx="16">
                  <c:v>-2.994129052390494E-4</c:v>
                </c:pt>
                <c:pt idx="17">
                  <c:v>-1.5505676249089271E-4</c:v>
                </c:pt>
                <c:pt idx="18">
                  <c:v>-9.6962039775701109E-5</c:v>
                </c:pt>
                <c:pt idx="19">
                  <c:v>-3.3608825765645289E-5</c:v>
                </c:pt>
                <c:pt idx="20">
                  <c:v>-1.3637986754044807E-5</c:v>
                </c:pt>
                <c:pt idx="21">
                  <c:v>-4.4348493874879587E-6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1.5659244820889148E-5</c:v>
                </c:pt>
                <c:pt idx="90">
                  <c:v>3.3018189249612199E-5</c:v>
                </c:pt>
                <c:pt idx="91">
                  <c:v>8.2396930043562348E-5</c:v>
                </c:pt>
                <c:pt idx="92">
                  <c:v>8.7803001006125927E-5</c:v>
                </c:pt>
                <c:pt idx="93">
                  <c:v>1.0103456819958283E-4</c:v>
                </c:pt>
                <c:pt idx="94">
                  <c:v>1.5769927017448724E-4</c:v>
                </c:pt>
                <c:pt idx="95">
                  <c:v>3.1243151757750835E-2</c:v>
                </c:pt>
                <c:pt idx="96">
                  <c:v>3.6834835608995996E-2</c:v>
                </c:pt>
                <c:pt idx="97">
                  <c:v>5.5564944950465683E-2</c:v>
                </c:pt>
                <c:pt idx="98">
                  <c:v>9.7053949270861195E-2</c:v>
                </c:pt>
                <c:pt idx="99">
                  <c:v>0.19018848374895897</c:v>
                </c:pt>
                <c:pt idx="100">
                  <c:v>0.20848056537102488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F-4A07-89E6-1737742E2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4872"/>
        <c:axId val="45016584"/>
      </c:areaChart>
      <c:catAx>
        <c:axId val="35044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6584"/>
        <c:crosses val="autoZero"/>
        <c:auto val="1"/>
        <c:lblAlgn val="ctr"/>
        <c:lblOffset val="100"/>
        <c:noMultiLvlLbl val="0"/>
      </c:catAx>
      <c:valAx>
        <c:axId val="4501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1762125</xdr:colOff>
      <xdr:row>55</xdr:row>
      <xdr:rowOff>152400</xdr:rowOff>
    </xdr:from>
    <xdr:to>
      <xdr:col>11</xdr:col>
      <xdr:colOff>257175</xdr:colOff>
      <xdr:row>71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45C19A-7E50-FAF8-FC04-F98F64205AD4}"/>
            </a:ext>
            <a:ext uri="{147F2762-F138-4A5C-976F-8EAC2B608ADB}">
              <a16:predDERef xmlns:a16="http://schemas.microsoft.com/office/drawing/2014/main" pred="{60F2A88E-0A2D-450E-B835-09F8FA92D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95250</xdr:colOff>
      <xdr:row>308</xdr:row>
      <xdr:rowOff>171450</xdr:rowOff>
    </xdr:from>
    <xdr:to>
      <xdr:col>15</xdr:col>
      <xdr:colOff>142875</xdr:colOff>
      <xdr:row>323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1C07C-CDD6-3F22-16D3-502AAA641C2E}"/>
            </a:ext>
            <a:ext uri="{147F2762-F138-4A5C-976F-8EAC2B608ADB}">
              <a16:predDERef xmlns:a16="http://schemas.microsoft.com/office/drawing/2014/main" pred="{1C45C19A-7E50-FAF8-FC04-F98F64205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1200150</xdr:colOff>
      <xdr:row>308</xdr:row>
      <xdr:rowOff>152400</xdr:rowOff>
    </xdr:from>
    <xdr:to>
      <xdr:col>9</xdr:col>
      <xdr:colOff>923925</xdr:colOff>
      <xdr:row>323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4A973F-659E-5054-AC20-76525E10003F}"/>
            </a:ext>
            <a:ext uri="{147F2762-F138-4A5C-976F-8EAC2B608ADB}">
              <a16:predDERef xmlns:a16="http://schemas.microsoft.com/office/drawing/2014/main" pred="{F401C07C-CDD6-3F22-16D3-502AAA641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342900</xdr:colOff>
      <xdr:row>174</xdr:row>
      <xdr:rowOff>161925</xdr:rowOff>
    </xdr:from>
    <xdr:to>
      <xdr:col>7</xdr:col>
      <xdr:colOff>1352550</xdr:colOff>
      <xdr:row>194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8D87F3-8EED-62AA-7CF0-81BFA7946C43}"/>
            </a:ext>
            <a:ext uri="{147F2762-F138-4A5C-976F-8EAC2B608ADB}">
              <a16:predDERef xmlns:a16="http://schemas.microsoft.com/office/drawing/2014/main" pred="{1A4A973F-659E-5054-AC20-76525E100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1438275</xdr:colOff>
      <xdr:row>174</xdr:row>
      <xdr:rowOff>161925</xdr:rowOff>
    </xdr:from>
    <xdr:to>
      <xdr:col>11</xdr:col>
      <xdr:colOff>695325</xdr:colOff>
      <xdr:row>194</xdr:row>
      <xdr:rowOff>142875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ACB296-E001-0D3E-C5CE-2796298AD87C}"/>
            </a:ext>
            <a:ext uri="{147F2762-F138-4A5C-976F-8EAC2B608ADB}">
              <a16:predDERef xmlns:a16="http://schemas.microsoft.com/office/drawing/2014/main" pred="{EE8D87F3-8EED-62AA-7CF0-81BFA7946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1</xdr:row>
      <xdr:rowOff>95250</xdr:rowOff>
    </xdr:from>
    <xdr:to>
      <xdr:col>21</xdr:col>
      <xdr:colOff>200025</xdr:colOff>
      <xdr:row>36</xdr:row>
      <xdr:rowOff>171450</xdr:rowOff>
    </xdr:to>
    <xdr:graphicFrame macro="">
      <xdr:nvGraphicFramePr>
        <xdr:cNvPr id="8" name="Chart 7" descr="Chart type: Area. 'Field2'&#10;&#10;Description automatically generated">
          <a:extLst>
            <a:ext uri="{FF2B5EF4-FFF2-40B4-BE49-F238E27FC236}">
              <a16:creationId xmlns:a16="http://schemas.microsoft.com/office/drawing/2014/main" id="{5D3E6F21-D379-4481-A052-0275E803D998}"/>
            </a:ext>
            <a:ext uri="{147F2762-F138-4A5C-976F-8EAC2B608ADB}">
              <a16:predDERef xmlns:a16="http://schemas.microsoft.com/office/drawing/2014/main" pred="{749C7A4B-B53E-36CD-078D-BC2E9D7F7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0</xdr:rowOff>
    </xdr:from>
    <xdr:to>
      <xdr:col>17</xdr:col>
      <xdr:colOff>438150</xdr:colOff>
      <xdr:row>26</xdr:row>
      <xdr:rowOff>180975</xdr:rowOff>
    </xdr:to>
    <xdr:graphicFrame macro="">
      <xdr:nvGraphicFramePr>
        <xdr:cNvPr id="2" name="Chart 1" descr="Chart type: Area. 'Field2'&#10;&#10;Description automatically generated">
          <a:extLst>
            <a:ext uri="{FF2B5EF4-FFF2-40B4-BE49-F238E27FC236}">
              <a16:creationId xmlns:a16="http://schemas.microsoft.com/office/drawing/2014/main" id="{59DAD653-7570-4126-A9A0-B0E4045DF6AE}"/>
            </a:ext>
            <a:ext uri="{147F2762-F138-4A5C-976F-8EAC2B608ADB}">
              <a16:predDERef xmlns:a16="http://schemas.microsoft.com/office/drawing/2014/main" pred="{286361DD-194F-B4F4-59E4-A9D1402F7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492.566369907407" createdVersion="8" refreshedVersion="8" minRefreshableVersion="3" recordCount="101" xr:uid="{904DC0E2-5397-4395-A51D-3B5BFBC4E799}">
  <cacheSource type="worksheet">
    <worksheetSource ref="C6:D107" sheet="Sheet3"/>
  </cacheSource>
  <cacheFields count="2">
    <cacheField name="Field1" numFmtId="0">
      <sharedItems containsSemiMixedTypes="0" containsString="0" containsNumber="1" containsInteger="1" minValue="0" maxValue="100" count="10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Field2" numFmtId="10">
      <sharedItems containsSemiMixedTypes="0" containsString="0" containsNumber="1" minValue="0" maxValue="2.4554355870130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0"/>
  </r>
  <r>
    <x v="67"/>
    <n v="3.1908941497138701E-6"/>
  </r>
  <r>
    <x v="68"/>
    <n v="1.02371469037399E-5"/>
  </r>
  <r>
    <x v="69"/>
    <n v="1.80871931518256E-5"/>
  </r>
  <r>
    <x v="70"/>
    <n v="2.59734510998921E-5"/>
  </r>
  <r>
    <x v="71"/>
    <n v="3.7077888832297501E-5"/>
  </r>
  <r>
    <x v="72"/>
    <n v="6.9498307359374406E-5"/>
  </r>
  <r>
    <x v="73"/>
    <n v="8.6793003620129201E-5"/>
  </r>
  <r>
    <x v="74"/>
    <n v="8.9012250488682606E-5"/>
  </r>
  <r>
    <x v="75"/>
    <n v="1.13982723226908E-4"/>
  </r>
  <r>
    <x v="76"/>
    <n v="1.4573910339148901E-4"/>
  </r>
  <r>
    <x v="77"/>
    <n v="1.6426876987402401E-4"/>
  </r>
  <r>
    <x v="78"/>
    <n v="2.80084565329196E-4"/>
  </r>
  <r>
    <x v="79"/>
    <n v="9.3368221496451605E-4"/>
  </r>
  <r>
    <x v="80"/>
    <n v="1.9685058468213801E-3"/>
  </r>
  <r>
    <x v="81"/>
    <n v="2.4438769214036298E-3"/>
  </r>
  <r>
    <x v="82"/>
    <n v="6.4840901817816701E-3"/>
  </r>
  <r>
    <x v="83"/>
    <n v="1.6213199259447499E-2"/>
  </r>
  <r>
    <x v="84"/>
    <n v="3.0594208489403699E-2"/>
  </r>
  <r>
    <x v="85"/>
    <n v="3.1650981642420903E-2"/>
  </r>
  <r>
    <x v="86"/>
    <n v="3.8048012550464402E-2"/>
  </r>
  <r>
    <x v="87"/>
    <n v="5.17594771347894E-2"/>
  </r>
  <r>
    <x v="88"/>
    <n v="6.4992338404174593E-2"/>
  </r>
  <r>
    <x v="89"/>
    <n v="0.10279457354093501"/>
  </r>
  <r>
    <x v="90"/>
    <n v="0.124068909596786"/>
  </r>
  <r>
    <x v="91"/>
    <n v="0.20805590650827099"/>
  </r>
  <r>
    <x v="92"/>
    <n v="0.41732078508204401"/>
  </r>
  <r>
    <x v="93"/>
    <n v="0.64549495738557905"/>
  </r>
  <r>
    <x v="94"/>
    <n v="0.950502419054708"/>
  </r>
  <r>
    <x v="95"/>
    <n v="1"/>
  </r>
  <r>
    <x v="96"/>
    <n v="1"/>
  </r>
  <r>
    <x v="97"/>
    <n v="1"/>
  </r>
  <r>
    <x v="98"/>
    <n v="1.62"/>
  </r>
  <r>
    <x v="99"/>
    <n v="2.3666055045871599"/>
  </r>
  <r>
    <x v="100"/>
    <n v="2.455435587013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1FB72-F666-419B-96D8-A9C1D406CB88}" name="PivotTable2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:B104" firstHeaderRow="1" firstDataRow="1" firstDataCol="1"/>
  <pivotFields count="2">
    <pivotField axis="axisRow" showAll="0" sortType="ascending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numFmtId="10" showAll="0"/>
  </pivotFields>
  <rowFields count="1"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Average of Field2" fld="1" subtotal="average" baseField="0" baseItem="0" numFmtId="10"/>
  </dataFields>
  <chartFormats count="2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1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1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1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1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1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4"/>
  <sheetViews>
    <sheetView topLeftCell="A47" workbookViewId="0">
      <selection activeCell="G53" sqref="G53"/>
    </sheetView>
  </sheetViews>
  <sheetFormatPr defaultRowHeight="15"/>
  <cols>
    <col min="1" max="1" width="21.42578125" customWidth="1"/>
    <col min="2" max="2" width="21.140625" customWidth="1"/>
    <col min="3" max="3" width="14.7109375" customWidth="1"/>
    <col min="4" max="4" width="21.28515625" customWidth="1"/>
    <col min="5" max="5" width="23.7109375" customWidth="1"/>
    <col min="6" max="6" width="14.42578125" customWidth="1"/>
    <col min="7" max="7" width="18.28515625" customWidth="1"/>
    <col min="8" max="8" width="32.5703125" customWidth="1"/>
    <col min="9" max="9" width="14.28515625" customWidth="1"/>
    <col min="10" max="10" width="17.85546875" customWidth="1"/>
    <col min="11" max="11" width="15.5703125" customWidth="1"/>
    <col min="12" max="12" width="15.140625" customWidth="1"/>
    <col min="13" max="13" width="16.140625" customWidth="1"/>
    <col min="14" max="14" width="15" customWidth="1"/>
    <col min="15" max="15" width="13.7109375" customWidth="1"/>
    <col min="16" max="16" width="10.28515625" customWidth="1"/>
  </cols>
  <sheetData>
    <row r="1" spans="4:17">
      <c r="I1" s="1"/>
      <c r="K1" s="1"/>
      <c r="L1" s="1"/>
      <c r="M1" s="1"/>
      <c r="N1" s="1"/>
      <c r="O1" s="1"/>
      <c r="P1" s="1"/>
      <c r="Q1" s="1"/>
    </row>
    <row r="5" spans="4:17">
      <c r="D5" s="6" t="s">
        <v>0</v>
      </c>
      <c r="E5" s="6" t="s">
        <v>1</v>
      </c>
      <c r="F5" s="40" t="s">
        <v>2</v>
      </c>
      <c r="G5" s="6" t="s">
        <v>3</v>
      </c>
      <c r="H5" s="41" t="s">
        <v>4</v>
      </c>
      <c r="I5" s="40" t="s">
        <v>5</v>
      </c>
      <c r="J5" s="6" t="s">
        <v>6</v>
      </c>
    </row>
    <row r="6" spans="4:17">
      <c r="D6" s="6" t="s">
        <v>7</v>
      </c>
      <c r="E6" s="6">
        <v>45811</v>
      </c>
      <c r="F6" s="6">
        <v>8193</v>
      </c>
      <c r="G6" s="26">
        <v>3.84</v>
      </c>
      <c r="H6" s="6">
        <v>10935</v>
      </c>
      <c r="I6" s="6">
        <v>89900</v>
      </c>
      <c r="J6" s="14">
        <v>0.17899999999999999</v>
      </c>
    </row>
    <row r="7" spans="4:17">
      <c r="D7" s="6" t="s">
        <v>8</v>
      </c>
      <c r="E7" s="6">
        <v>45006</v>
      </c>
      <c r="F7" s="6">
        <v>8440</v>
      </c>
      <c r="G7" s="6">
        <v>3.86</v>
      </c>
      <c r="H7" s="6">
        <v>9299</v>
      </c>
      <c r="I7" s="17">
        <v>30000</v>
      </c>
      <c r="J7" s="11">
        <v>0.1875</v>
      </c>
    </row>
    <row r="8" spans="4:17">
      <c r="D8" s="6" t="s">
        <v>9</v>
      </c>
      <c r="E8" s="6">
        <v>58716</v>
      </c>
      <c r="F8" s="6">
        <v>19240</v>
      </c>
      <c r="G8" s="6">
        <v>9.6</v>
      </c>
      <c r="H8" s="6">
        <v>13237</v>
      </c>
      <c r="I8" s="6">
        <v>103605</v>
      </c>
      <c r="J8" s="11">
        <v>0.32769999999999999</v>
      </c>
    </row>
    <row r="9" spans="4:17">
      <c r="D9" s="6" t="s">
        <v>10</v>
      </c>
      <c r="E9" s="6">
        <v>58496</v>
      </c>
      <c r="F9" s="6">
        <v>1058</v>
      </c>
      <c r="G9" s="6">
        <v>0.38</v>
      </c>
      <c r="H9" s="6">
        <v>10679</v>
      </c>
      <c r="I9" s="6">
        <v>88000</v>
      </c>
      <c r="J9" s="11">
        <v>1.7999999999999999E-2</v>
      </c>
    </row>
    <row r="10" spans="4:17">
      <c r="D10" s="6" t="s">
        <v>11</v>
      </c>
      <c r="E10" s="6">
        <v>4263800</v>
      </c>
      <c r="F10" s="6">
        <v>214100</v>
      </c>
      <c r="G10" s="6">
        <v>92</v>
      </c>
      <c r="H10" s="6">
        <v>774391.2</v>
      </c>
      <c r="I10" s="6">
        <v>50000</v>
      </c>
      <c r="J10" s="11">
        <v>0.05</v>
      </c>
    </row>
    <row r="11" spans="4:17">
      <c r="D11" s="6" t="s">
        <v>12</v>
      </c>
      <c r="E11" s="17">
        <v>20993</v>
      </c>
      <c r="F11" s="6">
        <v>3609</v>
      </c>
      <c r="G11" s="6">
        <v>6.49</v>
      </c>
      <c r="H11" s="6">
        <v>2445</v>
      </c>
      <c r="I11" s="6">
        <v>62908</v>
      </c>
      <c r="J11" s="11">
        <v>0.17199999999999999</v>
      </c>
    </row>
    <row r="12" spans="4:17">
      <c r="D12" s="6" t="s">
        <v>13</v>
      </c>
      <c r="E12" s="6">
        <v>45440</v>
      </c>
      <c r="F12" s="6">
        <v>9769</v>
      </c>
      <c r="G12" s="6">
        <v>7.15</v>
      </c>
      <c r="H12" s="6">
        <v>11371</v>
      </c>
      <c r="I12" s="6">
        <v>76057</v>
      </c>
      <c r="J12" s="11">
        <v>0.215</v>
      </c>
    </row>
    <row r="13" spans="4:17">
      <c r="D13" s="6" t="s">
        <v>14</v>
      </c>
      <c r="E13" s="6">
        <v>249.38</v>
      </c>
      <c r="F13" s="6">
        <v>-507</v>
      </c>
      <c r="G13" s="23">
        <v>1</v>
      </c>
      <c r="H13" s="6">
        <v>427.72</v>
      </c>
      <c r="I13" s="6">
        <v>655</v>
      </c>
      <c r="J13" s="20">
        <v>-2.0329999999999999</v>
      </c>
    </row>
    <row r="14" spans="4:17">
      <c r="D14" s="6" t="s">
        <v>15</v>
      </c>
      <c r="E14" s="6">
        <v>34124.1</v>
      </c>
      <c r="F14" s="6">
        <v>6554.6</v>
      </c>
      <c r="G14" s="6">
        <v>5.82</v>
      </c>
      <c r="H14" s="6">
        <v>9313.4</v>
      </c>
      <c r="I14" s="6">
        <v>43000</v>
      </c>
      <c r="J14" s="11">
        <v>0.192</v>
      </c>
    </row>
    <row r="15" spans="4:17">
      <c r="D15" s="21" t="s">
        <v>16</v>
      </c>
      <c r="E15" s="6">
        <v>6848</v>
      </c>
      <c r="F15" s="6">
        <v>-4239</v>
      </c>
      <c r="G15" s="6">
        <v>-12.33</v>
      </c>
      <c r="H15" s="6">
        <v>4845</v>
      </c>
      <c r="I15" s="6">
        <v>5600</v>
      </c>
      <c r="J15" s="20">
        <v>-0.61899999999999999</v>
      </c>
    </row>
    <row r="16" spans="4:17">
      <c r="D16" s="6" t="s">
        <v>17</v>
      </c>
      <c r="E16" s="6">
        <v>30328</v>
      </c>
      <c r="F16" s="6">
        <v>6745</v>
      </c>
      <c r="G16" s="6">
        <v>1.216</v>
      </c>
      <c r="H16" s="6">
        <v>6223</v>
      </c>
      <c r="I16" s="6">
        <v>70212</v>
      </c>
      <c r="J16" s="11">
        <v>0.222</v>
      </c>
    </row>
    <row r="17" spans="1:10">
      <c r="D17" s="6" t="s">
        <v>18</v>
      </c>
      <c r="E17" s="6">
        <v>28190</v>
      </c>
      <c r="F17" s="6">
        <v>7897</v>
      </c>
      <c r="G17" s="6">
        <v>12.56</v>
      </c>
      <c r="H17" s="6">
        <v>4784</v>
      </c>
      <c r="I17" s="6">
        <v>26700</v>
      </c>
      <c r="J17" s="11">
        <v>0.28010000000000002</v>
      </c>
    </row>
    <row r="18" spans="1:10">
      <c r="D18" s="6" t="s">
        <v>19</v>
      </c>
      <c r="E18" s="6">
        <v>265.76</v>
      </c>
      <c r="F18" s="6">
        <v>2.6869999999999998</v>
      </c>
      <c r="G18" s="6">
        <v>1.29E-2</v>
      </c>
      <c r="H18" s="19">
        <v>1</v>
      </c>
      <c r="I18" s="6">
        <v>4887</v>
      </c>
      <c r="J18" s="11">
        <v>1.01E-2</v>
      </c>
    </row>
    <row r="19" spans="1:10">
      <c r="D19" s="6" t="s">
        <v>20</v>
      </c>
      <c r="E19" s="6">
        <v>1830.2080000000001</v>
      </c>
      <c r="F19" s="6">
        <v>170.88499999999999</v>
      </c>
      <c r="G19" s="6">
        <v>0.65</v>
      </c>
      <c r="H19" s="6">
        <v>1044.0709999999999</v>
      </c>
      <c r="I19" s="6">
        <v>1310</v>
      </c>
      <c r="J19" s="20">
        <v>9.3399999999999997E-2</v>
      </c>
    </row>
    <row r="20" spans="1:10">
      <c r="D20" s="6" t="s">
        <v>21</v>
      </c>
      <c r="E20" s="6">
        <v>1492.86</v>
      </c>
      <c r="F20" s="6">
        <v>211.25399999999999</v>
      </c>
      <c r="G20" s="6">
        <v>7.65</v>
      </c>
      <c r="H20" s="6">
        <v>79.361999999999995</v>
      </c>
      <c r="I20" s="6">
        <v>153</v>
      </c>
      <c r="J20" s="11">
        <v>0.14149999999999999</v>
      </c>
    </row>
    <row r="21" spans="1:10">
      <c r="D21" s="6" t="s">
        <v>22</v>
      </c>
      <c r="E21" s="6">
        <v>13117.2</v>
      </c>
      <c r="F21" s="17">
        <v>4047.1</v>
      </c>
      <c r="G21" s="6">
        <v>37.049999999999997</v>
      </c>
      <c r="H21" s="18">
        <v>4439</v>
      </c>
      <c r="I21" s="6">
        <v>13450</v>
      </c>
      <c r="J21" s="20">
        <v>0.3085</v>
      </c>
    </row>
    <row r="22" spans="1:10">
      <c r="D22" s="6" t="s">
        <v>23</v>
      </c>
      <c r="E22" s="6">
        <v>1278478</v>
      </c>
      <c r="F22" s="6">
        <v>120580</v>
      </c>
      <c r="G22" s="6">
        <v>56.96</v>
      </c>
      <c r="H22" s="6">
        <v>341570</v>
      </c>
      <c r="I22" s="17">
        <v>17435</v>
      </c>
      <c r="J22" s="20">
        <v>9.4299999999999995E-2</v>
      </c>
    </row>
    <row r="23" spans="1:10">
      <c r="D23" s="6" t="s">
        <v>24</v>
      </c>
      <c r="E23" s="6">
        <v>47637</v>
      </c>
      <c r="F23" s="6">
        <v>612</v>
      </c>
      <c r="G23" s="6">
        <v>-2.99</v>
      </c>
      <c r="H23" s="6">
        <v>5371</v>
      </c>
      <c r="I23" s="6">
        <v>99723</v>
      </c>
      <c r="J23" s="11">
        <v>1.2800000000000001E-2</v>
      </c>
    </row>
    <row r="24" spans="1:10">
      <c r="A24" s="2" t="s">
        <v>25</v>
      </c>
      <c r="D24" s="6" t="s">
        <v>26</v>
      </c>
      <c r="E24" s="6">
        <v>2419.2260000000001</v>
      </c>
      <c r="F24" s="6">
        <v>-158.09700000000001</v>
      </c>
      <c r="G24" s="6">
        <v>-0.89</v>
      </c>
      <c r="H24" s="6">
        <v>746.8</v>
      </c>
      <c r="I24" s="6">
        <v>3401</v>
      </c>
      <c r="J24" s="20">
        <v>-6.54E-2</v>
      </c>
    </row>
    <row r="25" spans="1:10">
      <c r="A25" t="s">
        <v>27</v>
      </c>
      <c r="D25" s="6" t="s">
        <v>28</v>
      </c>
      <c r="E25" s="6">
        <v>741800</v>
      </c>
      <c r="F25" s="6">
        <v>53400</v>
      </c>
      <c r="G25" s="6">
        <v>147.9</v>
      </c>
      <c r="H25" s="6">
        <v>16900</v>
      </c>
      <c r="I25" s="25">
        <v>1</v>
      </c>
      <c r="J25" s="11">
        <v>7.1999999999999995E-2</v>
      </c>
    </row>
    <row r="28" spans="1:10">
      <c r="A28" s="6" t="s">
        <v>0</v>
      </c>
      <c r="B28" s="6" t="s">
        <v>1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29</v>
      </c>
    </row>
    <row r="29" spans="1:10">
      <c r="A29" s="6" t="s">
        <v>7</v>
      </c>
      <c r="B29" s="6">
        <v>45811</v>
      </c>
      <c r="C29" s="6">
        <v>8193</v>
      </c>
      <c r="D29" s="6">
        <v>3.84</v>
      </c>
      <c r="E29" s="6">
        <v>10935</v>
      </c>
      <c r="F29" s="6">
        <v>89900</v>
      </c>
      <c r="G29" s="11">
        <v>0.17899999999999999</v>
      </c>
      <c r="H29" s="6">
        <v>2</v>
      </c>
    </row>
    <row r="30" spans="1:10">
      <c r="A30" s="6" t="s">
        <v>8</v>
      </c>
      <c r="B30" s="6">
        <v>45000</v>
      </c>
      <c r="C30" s="16">
        <v>0</v>
      </c>
      <c r="D30" s="6">
        <v>3.86</v>
      </c>
      <c r="E30" s="6">
        <v>9300</v>
      </c>
      <c r="F30" s="6">
        <v>30000</v>
      </c>
      <c r="G30" s="42">
        <v>0</v>
      </c>
      <c r="H30" s="6">
        <v>7</v>
      </c>
    </row>
    <row r="31" spans="1:10">
      <c r="A31" s="6" t="s">
        <v>9</v>
      </c>
      <c r="B31" s="6">
        <v>58716</v>
      </c>
      <c r="C31" s="6">
        <v>19240</v>
      </c>
      <c r="D31" s="17">
        <v>9.6</v>
      </c>
      <c r="E31" s="17">
        <v>13237</v>
      </c>
      <c r="F31" s="6">
        <v>103605</v>
      </c>
      <c r="G31" s="11">
        <v>0.3276</v>
      </c>
      <c r="H31" s="17">
        <v>4</v>
      </c>
    </row>
    <row r="32" spans="1:10">
      <c r="A32" s="6" t="s">
        <v>10</v>
      </c>
      <c r="B32" s="18">
        <v>58496</v>
      </c>
      <c r="C32" s="6">
        <v>1058</v>
      </c>
      <c r="D32" s="6">
        <v>0.38</v>
      </c>
      <c r="E32" s="6">
        <v>11407</v>
      </c>
      <c r="F32" s="17">
        <v>83000</v>
      </c>
      <c r="G32" s="11">
        <v>1.7999999999999999E-2</v>
      </c>
      <c r="H32" s="6">
        <v>3</v>
      </c>
    </row>
    <row r="33" spans="1:8">
      <c r="A33" s="6" t="s">
        <v>11</v>
      </c>
      <c r="B33" s="6">
        <v>4263800</v>
      </c>
      <c r="C33" s="6">
        <v>214100</v>
      </c>
      <c r="D33" s="6">
        <v>92</v>
      </c>
      <c r="E33" s="16">
        <v>0</v>
      </c>
      <c r="F33" s="16">
        <v>0</v>
      </c>
      <c r="G33" s="20">
        <v>0.05</v>
      </c>
      <c r="H33" s="17">
        <v>8</v>
      </c>
    </row>
    <row r="34" spans="1:8">
      <c r="A34" s="6" t="s">
        <v>12</v>
      </c>
      <c r="B34" s="17">
        <v>20993</v>
      </c>
      <c r="C34" s="6">
        <v>3609</v>
      </c>
      <c r="D34" s="6">
        <v>6.49</v>
      </c>
      <c r="E34" s="6">
        <v>2400</v>
      </c>
      <c r="F34" s="6">
        <v>62908</v>
      </c>
      <c r="G34" s="11">
        <v>0.17199999999999999</v>
      </c>
      <c r="H34" s="17">
        <v>4</v>
      </c>
    </row>
    <row r="35" spans="1:8">
      <c r="A35" s="6" t="s">
        <v>13</v>
      </c>
      <c r="B35" s="6">
        <v>45440</v>
      </c>
      <c r="C35" s="6">
        <v>9769</v>
      </c>
      <c r="D35" s="6">
        <v>7.15</v>
      </c>
      <c r="E35" s="6">
        <v>11371</v>
      </c>
      <c r="F35" s="6">
        <v>76057</v>
      </c>
      <c r="G35" s="11">
        <v>0.215</v>
      </c>
      <c r="H35" s="17">
        <v>2</v>
      </c>
    </row>
    <row r="36" spans="1:8">
      <c r="A36" s="6" t="s">
        <v>14</v>
      </c>
      <c r="B36" s="6">
        <v>249.4</v>
      </c>
      <c r="C36" s="17">
        <v>-506</v>
      </c>
      <c r="D36" s="19">
        <v>1</v>
      </c>
      <c r="E36" s="17">
        <v>427.7</v>
      </c>
      <c r="F36" s="17">
        <v>655</v>
      </c>
      <c r="G36" s="20">
        <v>-2.0289999999999999</v>
      </c>
      <c r="H36" s="6">
        <v>2</v>
      </c>
    </row>
    <row r="37" spans="1:8">
      <c r="A37" s="6" t="s">
        <v>15</v>
      </c>
      <c r="B37" s="6">
        <v>34124.1</v>
      </c>
      <c r="C37" s="6">
        <v>6554.6</v>
      </c>
      <c r="D37" s="6">
        <v>5.82</v>
      </c>
      <c r="E37" s="6">
        <v>9313.4</v>
      </c>
      <c r="F37" s="6">
        <v>43000</v>
      </c>
      <c r="G37" s="20">
        <v>0.192</v>
      </c>
      <c r="H37" s="17">
        <v>4</v>
      </c>
    </row>
    <row r="38" spans="1:8">
      <c r="A38" s="21" t="s">
        <v>16</v>
      </c>
      <c r="B38" s="6">
        <v>6848</v>
      </c>
      <c r="C38" s="6">
        <v>-4239</v>
      </c>
      <c r="D38" s="6">
        <v>-12.33</v>
      </c>
      <c r="E38" s="6">
        <v>4845</v>
      </c>
      <c r="F38" s="6">
        <v>5600</v>
      </c>
      <c r="G38" s="20">
        <v>-0.61890000000000001</v>
      </c>
      <c r="H38" s="6">
        <v>3</v>
      </c>
    </row>
    <row r="39" spans="1:8">
      <c r="A39" s="6" t="s">
        <v>17</v>
      </c>
      <c r="B39" s="6">
        <v>30300</v>
      </c>
      <c r="C39" s="6">
        <v>6745</v>
      </c>
      <c r="D39" s="6">
        <v>1.216</v>
      </c>
      <c r="E39" s="6">
        <v>5562</v>
      </c>
      <c r="F39" s="6">
        <v>70212</v>
      </c>
      <c r="G39" s="11">
        <v>0.222</v>
      </c>
      <c r="H39" s="17">
        <v>8</v>
      </c>
    </row>
    <row r="40" spans="1:8">
      <c r="A40" s="6" t="s">
        <v>18</v>
      </c>
      <c r="B40" s="6">
        <v>28190</v>
      </c>
      <c r="C40" s="6">
        <v>7897</v>
      </c>
      <c r="D40" s="6">
        <v>12.56</v>
      </c>
      <c r="E40" s="6">
        <v>4784</v>
      </c>
      <c r="F40" s="22">
        <v>0</v>
      </c>
      <c r="G40" s="11">
        <v>0.29299999999999998</v>
      </c>
      <c r="H40" s="6">
        <v>5</v>
      </c>
    </row>
    <row r="41" spans="1:8">
      <c r="A41" s="6" t="s">
        <v>19</v>
      </c>
      <c r="B41" s="6">
        <v>265.76</v>
      </c>
      <c r="C41" s="6">
        <v>0.95</v>
      </c>
      <c r="D41" s="6">
        <v>1.29E-2</v>
      </c>
      <c r="E41" s="23">
        <v>1</v>
      </c>
      <c r="F41" s="6">
        <v>4887</v>
      </c>
      <c r="G41" s="11">
        <v>3.5999999999999999E-3</v>
      </c>
      <c r="H41" s="6">
        <v>9</v>
      </c>
    </row>
    <row r="42" spans="1:8">
      <c r="A42" s="6" t="s">
        <v>20</v>
      </c>
      <c r="B42" s="6">
        <v>1830.2</v>
      </c>
      <c r="C42" s="6">
        <v>170.9</v>
      </c>
      <c r="D42" s="6">
        <v>0.65</v>
      </c>
      <c r="E42" s="6">
        <v>1044.0999999999999</v>
      </c>
      <c r="F42" s="6">
        <v>1310</v>
      </c>
      <c r="G42" s="11">
        <v>9.3399999999999997E-2</v>
      </c>
      <c r="H42" s="6">
        <v>4</v>
      </c>
    </row>
    <row r="43" spans="1:8">
      <c r="A43" s="6" t="s">
        <v>21</v>
      </c>
      <c r="B43" s="6">
        <v>1492.86</v>
      </c>
      <c r="C43" s="6">
        <v>255.17</v>
      </c>
      <c r="D43" s="6">
        <v>7.65</v>
      </c>
      <c r="E43" s="6">
        <v>79.36</v>
      </c>
      <c r="F43" s="6">
        <v>153</v>
      </c>
      <c r="G43" s="11">
        <v>0.17100000000000001</v>
      </c>
      <c r="H43" s="6">
        <v>8</v>
      </c>
    </row>
    <row r="44" spans="1:8">
      <c r="A44" s="6" t="s">
        <v>22</v>
      </c>
      <c r="B44" s="6">
        <v>13117.2</v>
      </c>
      <c r="C44" s="6">
        <v>4047.1</v>
      </c>
      <c r="D44" s="6">
        <v>37.049999999999997</v>
      </c>
      <c r="E44" s="6">
        <v>4439</v>
      </c>
      <c r="F44" s="6">
        <v>13450</v>
      </c>
      <c r="G44" s="11">
        <v>0.3085</v>
      </c>
      <c r="H44" s="6">
        <v>4</v>
      </c>
    </row>
    <row r="45" spans="1:8">
      <c r="A45" s="6" t="s">
        <v>23</v>
      </c>
      <c r="B45" s="6">
        <v>1278500</v>
      </c>
      <c r="C45" s="6">
        <v>120600</v>
      </c>
      <c r="D45" s="6">
        <v>56.96</v>
      </c>
      <c r="E45" s="6">
        <v>341600</v>
      </c>
      <c r="F45" s="6">
        <v>17435</v>
      </c>
      <c r="G45" s="11">
        <v>9.4E-2</v>
      </c>
      <c r="H45" s="6">
        <v>2</v>
      </c>
    </row>
    <row r="46" spans="1:8">
      <c r="A46" s="6" t="s">
        <v>24</v>
      </c>
      <c r="B46" s="6">
        <v>49253</v>
      </c>
      <c r="C46" s="6">
        <v>612</v>
      </c>
      <c r="D46" s="6">
        <v>-2.99</v>
      </c>
      <c r="E46" s="6">
        <v>5371</v>
      </c>
      <c r="F46" s="6">
        <v>99723</v>
      </c>
      <c r="G46" s="11">
        <v>1.24E-2</v>
      </c>
      <c r="H46" s="6">
        <v>3</v>
      </c>
    </row>
    <row r="47" spans="1:8">
      <c r="A47" s="6" t="s">
        <v>26</v>
      </c>
      <c r="B47" s="6">
        <v>2419.1999999999998</v>
      </c>
      <c r="C47" s="6">
        <v>230.1</v>
      </c>
      <c r="D47" s="6">
        <v>0.89</v>
      </c>
      <c r="E47" s="6">
        <v>832.5</v>
      </c>
      <c r="F47" s="6">
        <v>3401</v>
      </c>
      <c r="G47" s="11">
        <v>9.5000000000000001E-2</v>
      </c>
      <c r="H47" s="6">
        <v>3</v>
      </c>
    </row>
    <row r="48" spans="1:8">
      <c r="A48" s="6" t="s">
        <v>28</v>
      </c>
      <c r="B48" s="6">
        <v>741800</v>
      </c>
      <c r="C48" s="6">
        <v>53400</v>
      </c>
      <c r="D48" s="6">
        <v>152.5</v>
      </c>
      <c r="E48" s="6">
        <v>16750</v>
      </c>
      <c r="F48" s="24">
        <v>1</v>
      </c>
      <c r="G48" s="11">
        <v>7.1999999999999995E-2</v>
      </c>
      <c r="H48" s="6">
        <v>2</v>
      </c>
    </row>
    <row r="49" spans="1:10">
      <c r="H49">
        <f>SUM(H29:H48)</f>
        <v>87</v>
      </c>
    </row>
    <row r="51" spans="1:10">
      <c r="A51" s="5" t="s">
        <v>30</v>
      </c>
      <c r="I51" s="35" t="s">
        <v>31</v>
      </c>
      <c r="J51" s="35" t="s">
        <v>32</v>
      </c>
    </row>
    <row r="52" spans="1:10">
      <c r="A52" s="2" t="s">
        <v>33</v>
      </c>
      <c r="I52" s="6" t="s">
        <v>34</v>
      </c>
      <c r="J52" s="6">
        <v>19</v>
      </c>
    </row>
    <row r="53" spans="1:10">
      <c r="A53" s="6" t="s">
        <v>0</v>
      </c>
      <c r="B53" s="6" t="s">
        <v>35</v>
      </c>
      <c r="C53" s="6" t="s">
        <v>36</v>
      </c>
      <c r="D53" s="6" t="s">
        <v>37</v>
      </c>
      <c r="E53" s="6" t="s">
        <v>38</v>
      </c>
      <c r="F53" s="6" t="s">
        <v>5</v>
      </c>
      <c r="G53" s="6" t="s">
        <v>39</v>
      </c>
      <c r="I53" s="6" t="s">
        <v>40</v>
      </c>
      <c r="J53" s="6">
        <v>7</v>
      </c>
    </row>
    <row r="54" spans="1:10">
      <c r="A54" s="6" t="str">
        <f>D6</f>
        <v>ASTAZENECA</v>
      </c>
      <c r="B54" s="27">
        <f>ABS(B29/E6-1)</f>
        <v>0</v>
      </c>
      <c r="C54" s="27">
        <f>ABS(C29/F6-1)</f>
        <v>0</v>
      </c>
      <c r="D54" s="27">
        <f>ABS(D29/G6-1)</f>
        <v>0</v>
      </c>
      <c r="E54" s="27">
        <f>ABS(E29/H6-1)</f>
        <v>0</v>
      </c>
      <c r="F54" s="27">
        <f>ABS(F29/I6-1)</f>
        <v>0</v>
      </c>
      <c r="G54" s="27">
        <f>ABS(G29/J6-1)</f>
        <v>0</v>
      </c>
      <c r="I54" s="6" t="s">
        <v>41</v>
      </c>
      <c r="J54" s="6">
        <v>6</v>
      </c>
    </row>
    <row r="55" spans="1:10">
      <c r="A55" s="6" t="s">
        <v>8</v>
      </c>
      <c r="B55" s="28">
        <f>ABS(B30/E7-1)</f>
        <v>1.3331555792561733E-4</v>
      </c>
      <c r="C55" s="29">
        <f>ABS(C30/F7-1)</f>
        <v>1</v>
      </c>
      <c r="D55" s="11">
        <f>ABS(D30/G7-1)</f>
        <v>0</v>
      </c>
      <c r="E55" s="28">
        <f>ABS(E30/H7-1)</f>
        <v>1.0753844499400422E-4</v>
      </c>
      <c r="F55" s="11">
        <f>ABS(F30/I7-1)</f>
        <v>0</v>
      </c>
      <c r="G55" s="29">
        <f>ABS(G30/J7-1)</f>
        <v>1</v>
      </c>
      <c r="I55" s="6" t="s">
        <v>42</v>
      </c>
      <c r="J55" s="6">
        <v>8</v>
      </c>
    </row>
    <row r="56" spans="1:10">
      <c r="A56" s="6" t="s">
        <v>43</v>
      </c>
      <c r="B56" s="11">
        <f>ABS(B31/E8-1)</f>
        <v>0</v>
      </c>
      <c r="C56" s="11">
        <f>ABS(C31/F8-1)</f>
        <v>0</v>
      </c>
      <c r="D56" s="11">
        <f>ABS(D31/G8-1)</f>
        <v>0</v>
      </c>
      <c r="E56" s="11">
        <f>ABS(E31/H8-1)</f>
        <v>0</v>
      </c>
      <c r="F56" s="11">
        <f>ABS(F31/I8-1)</f>
        <v>0</v>
      </c>
      <c r="G56" s="28">
        <f>ABS(G31/J8-1)</f>
        <v>3.0515715593526505E-4</v>
      </c>
    </row>
    <row r="57" spans="1:10">
      <c r="A57" s="6" t="s">
        <v>10</v>
      </c>
      <c r="B57" s="11">
        <f>ABS(B32/E9-1)</f>
        <v>0</v>
      </c>
      <c r="C57" s="11">
        <f>ABS(C32/F9-1)</f>
        <v>0</v>
      </c>
      <c r="D57" s="11">
        <f>ABS(D32/G9-1)</f>
        <v>0</v>
      </c>
      <c r="E57" s="30">
        <f>ABS(E32/H9-1)</f>
        <v>6.8171177076505218E-2</v>
      </c>
      <c r="F57" s="30">
        <f>ABS(F32/I9-1)</f>
        <v>5.6818181818181768E-2</v>
      </c>
      <c r="G57" s="11">
        <f>ABS(G32/J9-1)</f>
        <v>0</v>
      </c>
    </row>
    <row r="58" spans="1:10">
      <c r="A58" s="6" t="s">
        <v>44</v>
      </c>
      <c r="B58" s="11">
        <f>ABS(B33/E10-1)</f>
        <v>0</v>
      </c>
      <c r="C58" s="11">
        <f>ABS(C33/F10-1)</f>
        <v>0</v>
      </c>
      <c r="D58" s="11">
        <f>ABS(D33/G10-1)</f>
        <v>0</v>
      </c>
      <c r="E58" s="29">
        <f>ABS(E33/H10-1)</f>
        <v>1</v>
      </c>
      <c r="F58" s="29">
        <f>ABS(F33/I10-1)</f>
        <v>1</v>
      </c>
      <c r="G58" s="11">
        <f>ABS(G33/J10-1)</f>
        <v>0</v>
      </c>
    </row>
    <row r="59" spans="1:10">
      <c r="A59" s="6" t="s">
        <v>45</v>
      </c>
      <c r="B59" s="11">
        <f>ABS(B34/E11-1)</f>
        <v>0</v>
      </c>
      <c r="C59" s="11">
        <f>ABS(C34/F11-1)</f>
        <v>0</v>
      </c>
      <c r="D59" s="11">
        <f>ABS(D34/G11-1)</f>
        <v>0</v>
      </c>
      <c r="E59" s="30">
        <f>ABS(E34/H11-1)</f>
        <v>1.8404907975460127E-2</v>
      </c>
      <c r="F59" s="11">
        <f>ABS(F34/I11-1)</f>
        <v>0</v>
      </c>
      <c r="G59" s="11">
        <f>ABS(G34/J11-1)</f>
        <v>0</v>
      </c>
    </row>
    <row r="60" spans="1:10">
      <c r="A60" s="6" t="s">
        <v>13</v>
      </c>
      <c r="B60" s="11">
        <f>ABS(B35/E12-1)</f>
        <v>0</v>
      </c>
      <c r="C60" s="11">
        <f>ABS(C35/F12-1)</f>
        <v>0</v>
      </c>
      <c r="D60" s="11">
        <f>ABS(D35/G12-1)</f>
        <v>0</v>
      </c>
      <c r="E60" s="11">
        <f>ABS(E35/H12-1)</f>
        <v>0</v>
      </c>
      <c r="F60" s="11">
        <f>ABS(F35/I12-1)</f>
        <v>0</v>
      </c>
      <c r="G60" s="11">
        <f>ABS(G35/J12-1)</f>
        <v>0</v>
      </c>
    </row>
    <row r="61" spans="1:10">
      <c r="A61" s="6" t="s">
        <v>14</v>
      </c>
      <c r="B61" s="28">
        <f>ABS(B36/E13-1)</f>
        <v>8.0198893255278847E-5</v>
      </c>
      <c r="C61" s="28">
        <f>ABS(C36/F13-1)</f>
        <v>1.9723865877712132E-3</v>
      </c>
      <c r="D61" s="11">
        <f>ABS(D36/G13-1)</f>
        <v>0</v>
      </c>
      <c r="E61" s="28">
        <f>ABS(E36/H13-1)</f>
        <v>4.6759562330578319E-5</v>
      </c>
      <c r="F61" s="11">
        <f>ABS(F36/I13-1)</f>
        <v>0</v>
      </c>
      <c r="G61" s="28">
        <f>ABS(G36/J13-1)</f>
        <v>1.967535661583919E-3</v>
      </c>
    </row>
    <row r="62" spans="1:10">
      <c r="A62" s="6" t="s">
        <v>15</v>
      </c>
      <c r="B62" s="11">
        <f>ABS(B37/E14-1)</f>
        <v>0</v>
      </c>
      <c r="C62" s="11">
        <f>ABS(C37/F14-1)</f>
        <v>0</v>
      </c>
      <c r="D62" s="11">
        <f>ABS(D37/G14-1)</f>
        <v>0</v>
      </c>
      <c r="E62" s="11">
        <f>ABS(E37/H14-1)</f>
        <v>0</v>
      </c>
      <c r="F62" s="11">
        <f>ABS(F37/I14-1)</f>
        <v>0</v>
      </c>
      <c r="G62" s="11">
        <f>ABS(G37/J14-1)</f>
        <v>0</v>
      </c>
    </row>
    <row r="63" spans="1:10">
      <c r="A63" s="21" t="s">
        <v>16</v>
      </c>
      <c r="B63" s="11">
        <f>ABS(B38/E15-1)</f>
        <v>0</v>
      </c>
      <c r="C63" s="11">
        <f>ABS(C38/F15-1)</f>
        <v>0</v>
      </c>
      <c r="D63" s="11">
        <f>ABS(D38/G15-1)</f>
        <v>0</v>
      </c>
      <c r="E63" s="11">
        <f>ABS(E38/H15-1)</f>
        <v>0</v>
      </c>
      <c r="F63" s="11">
        <f>ABS(F38/I15-1)</f>
        <v>0</v>
      </c>
      <c r="G63" s="28">
        <f>ABS(G38/J15-1)</f>
        <v>1.615508885298711E-4</v>
      </c>
    </row>
    <row r="64" spans="1:10">
      <c r="A64" s="6" t="s">
        <v>46</v>
      </c>
      <c r="B64" s="28">
        <f>ABS(B39/E16-1)</f>
        <v>9.2323925085724401E-4</v>
      </c>
      <c r="C64" s="11">
        <f>ABS(C39/F16-1)</f>
        <v>0</v>
      </c>
      <c r="D64" s="11">
        <f>ABS(D39/G16-1)</f>
        <v>0</v>
      </c>
      <c r="E64" s="31">
        <f>ABS(E39/H16-1)</f>
        <v>0.10621886549895554</v>
      </c>
      <c r="F64" s="11">
        <f>ABS(F39/I16-1)</f>
        <v>0</v>
      </c>
      <c r="G64" s="11">
        <f>ABS(G39/J16-1)</f>
        <v>0</v>
      </c>
    </row>
    <row r="65" spans="1:7">
      <c r="A65" s="6" t="s">
        <v>18</v>
      </c>
      <c r="B65" s="11">
        <f>ABS(B40/E17-1)</f>
        <v>0</v>
      </c>
      <c r="C65" s="11">
        <f>ABS(C40/F17-1)</f>
        <v>0</v>
      </c>
      <c r="D65" s="11">
        <f>ABS(D40/G17-1)</f>
        <v>0</v>
      </c>
      <c r="E65" s="11">
        <f>ABS(E40/H17-1)</f>
        <v>0</v>
      </c>
      <c r="F65" s="29">
        <f>ABS(F40/I17-1)</f>
        <v>1</v>
      </c>
      <c r="G65" s="30">
        <f>ABS(G40/J17-1)</f>
        <v>4.6054980364155451E-2</v>
      </c>
    </row>
    <row r="66" spans="1:7">
      <c r="A66" s="6" t="s">
        <v>19</v>
      </c>
      <c r="B66" s="11">
        <f>ABS(B41/E18-1)</f>
        <v>0</v>
      </c>
      <c r="C66" s="31">
        <f>ABS(C41/F18-1)</f>
        <v>0.6464458503907704</v>
      </c>
      <c r="D66" s="11">
        <f>ABS(D41/G18-1)</f>
        <v>0</v>
      </c>
      <c r="E66" s="11">
        <f>ABS(E41/H18-1)</f>
        <v>0</v>
      </c>
      <c r="F66" s="11">
        <f>ABS(F41/I18-1)</f>
        <v>0</v>
      </c>
      <c r="G66" s="31">
        <f>ABS(G41/J18-1)</f>
        <v>0.64356435643564358</v>
      </c>
    </row>
    <row r="67" spans="1:7">
      <c r="A67" s="6" t="s">
        <v>20</v>
      </c>
      <c r="B67" s="28">
        <f>ABS(B42/E19-1)</f>
        <v>4.3710878763203453E-6</v>
      </c>
      <c r="C67" s="28">
        <f>ABS(C42/F19-1)</f>
        <v>8.7778330456256271E-5</v>
      </c>
      <c r="D67" s="11">
        <f>ABS(D42/G19-1)</f>
        <v>0</v>
      </c>
      <c r="E67" s="28">
        <f>ABS(E42/H19-1)</f>
        <v>2.777588880453763E-5</v>
      </c>
      <c r="F67" s="11">
        <f>ABS(F42/I19-1)</f>
        <v>0</v>
      </c>
      <c r="G67" s="11">
        <f>ABS(G42/J19-1)</f>
        <v>0</v>
      </c>
    </row>
    <row r="68" spans="1:7">
      <c r="A68" s="6" t="s">
        <v>21</v>
      </c>
      <c r="B68" s="11">
        <f>ABS(B43/E20-1)</f>
        <v>0</v>
      </c>
      <c r="C68" s="31">
        <f>ABS(C43/F20-1)</f>
        <v>0.20788245429672347</v>
      </c>
      <c r="D68" s="11">
        <f>ABS(D43/G20-1)</f>
        <v>0</v>
      </c>
      <c r="E68" s="28">
        <f>ABS(E43/H20-1)</f>
        <v>2.5200977797901203E-5</v>
      </c>
      <c r="F68" s="11">
        <f>ABS(F43/I20-1)</f>
        <v>0</v>
      </c>
      <c r="G68" s="31">
        <f>ABS(G43/J20-1)</f>
        <v>0.20848056537102488</v>
      </c>
    </row>
    <row r="69" spans="1:7">
      <c r="A69" s="6" t="s">
        <v>22</v>
      </c>
      <c r="B69" s="11">
        <f>ABS(B44/E21-1)</f>
        <v>0</v>
      </c>
      <c r="C69" s="11">
        <f>ABS(C44/F21-1)</f>
        <v>0</v>
      </c>
      <c r="D69" s="11">
        <f>ABS(D44/G21-1)</f>
        <v>0</v>
      </c>
      <c r="E69" s="11">
        <f>ABS(E44/H21-1)</f>
        <v>0</v>
      </c>
      <c r="F69" s="11">
        <f>ABS(F44/I21-1)</f>
        <v>0</v>
      </c>
      <c r="G69" s="11">
        <f>ABS(G44/J21-1)</f>
        <v>0</v>
      </c>
    </row>
    <row r="70" spans="1:7">
      <c r="A70" s="6" t="s">
        <v>47</v>
      </c>
      <c r="B70" s="28">
        <f>ABS(B45/E22-1)</f>
        <v>1.7207961341636491E-5</v>
      </c>
      <c r="C70" s="28">
        <f>ABS(C45/F22-1)</f>
        <v>1.6586498590154264E-4</v>
      </c>
      <c r="D70" s="11">
        <f>ABS(D45/G22-1)</f>
        <v>0</v>
      </c>
      <c r="E70" s="28">
        <f>ABS(E45/H22-1)</f>
        <v>8.7829727435151383E-5</v>
      </c>
      <c r="F70" s="11">
        <f>ABS(F45/I22-1)</f>
        <v>0</v>
      </c>
      <c r="G70" s="28">
        <f>ABS(G45/J22-1)</f>
        <v>3.1813361611876534E-3</v>
      </c>
    </row>
    <row r="71" spans="1:7">
      <c r="A71" s="6" t="s">
        <v>48</v>
      </c>
      <c r="B71" s="30">
        <f>ABS(B46/E23-1)</f>
        <v>3.3923210949472038E-2</v>
      </c>
      <c r="C71" s="11">
        <f>ABS(C46/F23-1)</f>
        <v>0</v>
      </c>
      <c r="D71" s="11">
        <f>ABS(D46/G23-1)</f>
        <v>0</v>
      </c>
      <c r="E71" s="11">
        <f>ABS(E46/H23-1)</f>
        <v>0</v>
      </c>
      <c r="F71" s="11">
        <f>ABS(F46/I23-1)</f>
        <v>0</v>
      </c>
      <c r="G71" s="30">
        <f>ABS(G46/J23-1)</f>
        <v>3.1250000000000111E-2</v>
      </c>
    </row>
    <row r="72" spans="1:7">
      <c r="A72" s="6" t="s">
        <v>26</v>
      </c>
      <c r="B72" s="28">
        <f>ABS(B47/E24-1)</f>
        <v>1.0747238993080721E-5</v>
      </c>
      <c r="C72" s="29">
        <f>ABS(C47/F24-1)</f>
        <v>2.455435587013036</v>
      </c>
      <c r="D72" s="29">
        <f>ABS(D47/G24-1)</f>
        <v>2</v>
      </c>
      <c r="E72" s="31">
        <f>ABS(E47/H24-1)</f>
        <v>0.11475629351901451</v>
      </c>
      <c r="F72" s="11">
        <f>ABS(F47/I24-1)</f>
        <v>0</v>
      </c>
      <c r="G72" s="29">
        <f>ABS(G47/J24-1)</f>
        <v>2.452599388379205</v>
      </c>
    </row>
    <row r="73" spans="1:7">
      <c r="A73" s="6" t="s">
        <v>49</v>
      </c>
      <c r="B73" s="11">
        <f>ABS(B48/E25-1)</f>
        <v>0</v>
      </c>
      <c r="C73" s="11">
        <f>ABS(C48/F25-1)</f>
        <v>0</v>
      </c>
      <c r="D73" s="30">
        <f>ABS(D48/G25-1)</f>
        <v>3.1102096010818148E-2</v>
      </c>
      <c r="E73" s="28">
        <f>ABS(E48/H25-1)</f>
        <v>8.8757396449704595E-3</v>
      </c>
      <c r="F73" s="11">
        <f>ABS(F48/I25-1)</f>
        <v>0</v>
      </c>
      <c r="G73" s="11">
        <f>ABS(G48/J25-1)</f>
        <v>0</v>
      </c>
    </row>
    <row r="74" spans="1:7">
      <c r="A74" s="26" t="str">
        <f>A54</f>
        <v>ASTAZENECA</v>
      </c>
      <c r="B74" s="14">
        <f>C54</f>
        <v>0</v>
      </c>
    </row>
    <row r="75" spans="1:7">
      <c r="A75" t="str">
        <f>A55</f>
        <v>BRISTOL MYERS SQUIBB</v>
      </c>
      <c r="B75" s="4">
        <f>C55</f>
        <v>1</v>
      </c>
    </row>
    <row r="76" spans="1:7">
      <c r="A76" t="str">
        <f>A56</f>
        <v>HOFFMANN-LA ROCHE</v>
      </c>
      <c r="B76" s="4">
        <f>C56</f>
        <v>0</v>
      </c>
    </row>
    <row r="77" spans="1:7">
      <c r="A77" t="str">
        <f>A57</f>
        <v>PFIZER</v>
      </c>
      <c r="B77" s="4">
        <f>C57</f>
        <v>0</v>
      </c>
    </row>
    <row r="78" spans="1:7">
      <c r="A78" t="str">
        <f>A58</f>
        <v>TAKEDA PHARMS</v>
      </c>
      <c r="B78" s="4">
        <f>C58</f>
        <v>0</v>
      </c>
    </row>
    <row r="79" spans="1:7">
      <c r="A79" t="str">
        <f>A59</f>
        <v>EMD SERONO INC</v>
      </c>
      <c r="B79" s="4">
        <f>C59</f>
        <v>0</v>
      </c>
    </row>
    <row r="80" spans="1:7">
      <c r="A80" t="str">
        <f>A60</f>
        <v>NOVARTIS PHARM</v>
      </c>
      <c r="B80" s="4">
        <f>C60</f>
        <v>0</v>
      </c>
    </row>
    <row r="81" spans="1:10">
      <c r="A81" t="str">
        <f>A61</f>
        <v>BLUEPRINT MEDICINES</v>
      </c>
      <c r="B81" s="4">
        <f>C61</f>
        <v>1.9723865877712132E-3</v>
      </c>
      <c r="D81" s="33"/>
      <c r="E81" s="34"/>
      <c r="F81" s="34"/>
      <c r="G81" s="34"/>
      <c r="H81" s="34"/>
      <c r="I81" s="34"/>
      <c r="J81" s="34"/>
    </row>
    <row r="82" spans="1:10">
      <c r="A82" t="str">
        <f>A62</f>
        <v>ELI LILLY AND COMPANY</v>
      </c>
      <c r="B82" s="4">
        <f>C62</f>
        <v>0</v>
      </c>
    </row>
    <row r="83" spans="1:10">
      <c r="A83" t="str">
        <f>A63</f>
        <v>MODERNA INC</v>
      </c>
      <c r="B83" s="4">
        <f>C63</f>
        <v>0</v>
      </c>
      <c r="D83" s="3"/>
    </row>
    <row r="84" spans="1:10">
      <c r="A84" t="str">
        <f>A64</f>
        <v>GSK</v>
      </c>
      <c r="B84" s="4">
        <f>C64</f>
        <v>0</v>
      </c>
    </row>
    <row r="85" spans="1:10">
      <c r="A85" t="str">
        <f>A65</f>
        <v>AMGEN</v>
      </c>
      <c r="B85" s="4">
        <f>C65</f>
        <v>0</v>
      </c>
    </row>
    <row r="86" spans="1:10">
      <c r="A86" t="str">
        <f>A66</f>
        <v>MILLENNIUM</v>
      </c>
      <c r="B86" s="4">
        <f>C66</f>
        <v>0.6464458503907704</v>
      </c>
    </row>
    <row r="87" spans="1:10">
      <c r="A87" t="str">
        <f>A67</f>
        <v>EXELIXIS INC</v>
      </c>
      <c r="B87" s="4">
        <f>C67</f>
        <v>8.7778330456256271E-5</v>
      </c>
    </row>
    <row r="88" spans="1:10">
      <c r="A88" t="str">
        <f>A68</f>
        <v>ONYX HEALTHCARE</v>
      </c>
      <c r="B88" s="4">
        <f>C68</f>
        <v>0.20788245429672347</v>
      </c>
    </row>
    <row r="89" spans="1:10">
      <c r="A89" t="str">
        <f>A69</f>
        <v>REGENERON PHARMAS</v>
      </c>
      <c r="B89" s="4">
        <f>C69</f>
        <v>0</v>
      </c>
    </row>
    <row r="90" spans="1:10">
      <c r="A90" t="str">
        <f>A70</f>
        <v>DAIICHI SANKYO</v>
      </c>
      <c r="B90" s="4">
        <f>C70</f>
        <v>1.6586498590154264E-4</v>
      </c>
    </row>
    <row r="91" spans="1:10">
      <c r="A91" t="str">
        <f>A71</f>
        <v>BAYER</v>
      </c>
      <c r="B91" s="4">
        <f>C71</f>
        <v>0</v>
      </c>
    </row>
    <row r="92" spans="1:10">
      <c r="A92" t="str">
        <f>A72</f>
        <v>BIOMARIN</v>
      </c>
      <c r="B92" s="4">
        <f>C72</f>
        <v>2.455435587013036</v>
      </c>
    </row>
    <row r="93" spans="1:10">
      <c r="A93" t="str">
        <f>A73</f>
        <v>EISAI</v>
      </c>
      <c r="B93" s="4">
        <f>C73</f>
        <v>0</v>
      </c>
    </row>
    <row r="94" spans="1:10">
      <c r="A94" s="6" t="str">
        <f>A54</f>
        <v>ASTAZENECA</v>
      </c>
      <c r="B94" s="11">
        <f>D54</f>
        <v>0</v>
      </c>
    </row>
    <row r="95" spans="1:10">
      <c r="A95" t="str">
        <f>A55</f>
        <v>BRISTOL MYERS SQUIBB</v>
      </c>
      <c r="B95" s="4">
        <f>D55</f>
        <v>0</v>
      </c>
    </row>
    <row r="96" spans="1:10">
      <c r="A96" t="str">
        <f>A56</f>
        <v>HOFFMANN-LA ROCHE</v>
      </c>
      <c r="B96" s="4">
        <f>D56</f>
        <v>0</v>
      </c>
    </row>
    <row r="97" spans="1:2">
      <c r="A97" t="str">
        <f>A57</f>
        <v>PFIZER</v>
      </c>
      <c r="B97" s="4">
        <f>D57</f>
        <v>0</v>
      </c>
    </row>
    <row r="98" spans="1:2">
      <c r="A98" t="str">
        <f>A58</f>
        <v>TAKEDA PHARMS</v>
      </c>
      <c r="B98" s="4">
        <f>D58</f>
        <v>0</v>
      </c>
    </row>
    <row r="99" spans="1:2">
      <c r="A99" t="str">
        <f>A59</f>
        <v>EMD SERONO INC</v>
      </c>
      <c r="B99" s="4">
        <f>D59</f>
        <v>0</v>
      </c>
    </row>
    <row r="100" spans="1:2">
      <c r="A100" t="str">
        <f>A60</f>
        <v>NOVARTIS PHARM</v>
      </c>
      <c r="B100" s="4">
        <f>D60</f>
        <v>0</v>
      </c>
    </row>
    <row r="101" spans="1:2">
      <c r="A101" t="str">
        <f>A61</f>
        <v>BLUEPRINT MEDICINES</v>
      </c>
      <c r="B101" s="4">
        <f>D61</f>
        <v>0</v>
      </c>
    </row>
    <row r="102" spans="1:2">
      <c r="A102" t="str">
        <f>A62</f>
        <v>ELI LILLY AND COMPANY</v>
      </c>
      <c r="B102" s="4">
        <f>D62</f>
        <v>0</v>
      </c>
    </row>
    <row r="103" spans="1:2">
      <c r="A103" t="str">
        <f>A63</f>
        <v>MODERNA INC</v>
      </c>
      <c r="B103" s="4">
        <f>D63</f>
        <v>0</v>
      </c>
    </row>
    <row r="104" spans="1:2">
      <c r="A104" t="str">
        <f>A64</f>
        <v>GSK</v>
      </c>
      <c r="B104" s="4">
        <f>D64</f>
        <v>0</v>
      </c>
    </row>
    <row r="105" spans="1:2">
      <c r="A105" t="str">
        <f>A65</f>
        <v>AMGEN</v>
      </c>
      <c r="B105" s="4">
        <f>D65</f>
        <v>0</v>
      </c>
    </row>
    <row r="106" spans="1:2">
      <c r="A106" t="str">
        <f>A66</f>
        <v>MILLENNIUM</v>
      </c>
      <c r="B106" s="4">
        <f>D66</f>
        <v>0</v>
      </c>
    </row>
    <row r="107" spans="1:2">
      <c r="A107" t="str">
        <f>A67</f>
        <v>EXELIXIS INC</v>
      </c>
      <c r="B107" s="4">
        <f>D67</f>
        <v>0</v>
      </c>
    </row>
    <row r="108" spans="1:2">
      <c r="A108" t="str">
        <f>A68</f>
        <v>ONYX HEALTHCARE</v>
      </c>
      <c r="B108" s="4">
        <f>D68</f>
        <v>0</v>
      </c>
    </row>
    <row r="109" spans="1:2">
      <c r="A109" t="str">
        <f>A69</f>
        <v>REGENERON PHARMAS</v>
      </c>
      <c r="B109" s="4">
        <f>D69</f>
        <v>0</v>
      </c>
    </row>
    <row r="110" spans="1:2">
      <c r="A110" t="str">
        <f>A70</f>
        <v>DAIICHI SANKYO</v>
      </c>
      <c r="B110" s="4">
        <f>D70</f>
        <v>0</v>
      </c>
    </row>
    <row r="111" spans="1:2">
      <c r="A111" t="str">
        <f>A71</f>
        <v>BAYER</v>
      </c>
      <c r="B111" s="4">
        <f>D71</f>
        <v>0</v>
      </c>
    </row>
    <row r="112" spans="1:2">
      <c r="A112" t="str">
        <f>A72</f>
        <v>BIOMARIN</v>
      </c>
      <c r="B112" s="4">
        <f>D72</f>
        <v>2</v>
      </c>
    </row>
    <row r="113" spans="1:2">
      <c r="A113" t="str">
        <f>A73</f>
        <v>EISAI</v>
      </c>
      <c r="B113" s="4">
        <f>D73</f>
        <v>3.1102096010818148E-2</v>
      </c>
    </row>
    <row r="114" spans="1:2">
      <c r="A114" s="6" t="str">
        <f>A54</f>
        <v>ASTAZENECA</v>
      </c>
      <c r="B114" s="11">
        <f>E54</f>
        <v>0</v>
      </c>
    </row>
    <row r="115" spans="1:2">
      <c r="A115" t="str">
        <f>A55</f>
        <v>BRISTOL MYERS SQUIBB</v>
      </c>
      <c r="B115" s="4">
        <f>E55</f>
        <v>1.0753844499400422E-4</v>
      </c>
    </row>
    <row r="116" spans="1:2">
      <c r="A116" t="str">
        <f>A56</f>
        <v>HOFFMANN-LA ROCHE</v>
      </c>
      <c r="B116" s="4">
        <f>E56</f>
        <v>0</v>
      </c>
    </row>
    <row r="117" spans="1:2">
      <c r="A117" t="str">
        <f>A57</f>
        <v>PFIZER</v>
      </c>
      <c r="B117" s="4">
        <f>E57</f>
        <v>6.8171177076505218E-2</v>
      </c>
    </row>
    <row r="118" spans="1:2">
      <c r="A118" t="str">
        <f>A58</f>
        <v>TAKEDA PHARMS</v>
      </c>
      <c r="B118" s="4">
        <f>E58</f>
        <v>1</v>
      </c>
    </row>
    <row r="119" spans="1:2">
      <c r="A119" t="str">
        <f>A59</f>
        <v>EMD SERONO INC</v>
      </c>
      <c r="B119" s="4">
        <f>E59</f>
        <v>1.8404907975460127E-2</v>
      </c>
    </row>
    <row r="120" spans="1:2">
      <c r="A120" t="str">
        <f>A60</f>
        <v>NOVARTIS PHARM</v>
      </c>
      <c r="B120" s="4">
        <f>E60</f>
        <v>0</v>
      </c>
    </row>
    <row r="121" spans="1:2">
      <c r="A121" t="str">
        <f>A61</f>
        <v>BLUEPRINT MEDICINES</v>
      </c>
      <c r="B121" s="4">
        <f>E61</f>
        <v>4.6759562330578319E-5</v>
      </c>
    </row>
    <row r="122" spans="1:2">
      <c r="A122" t="str">
        <f>A62</f>
        <v>ELI LILLY AND COMPANY</v>
      </c>
      <c r="B122" s="4">
        <f>E62</f>
        <v>0</v>
      </c>
    </row>
    <row r="123" spans="1:2">
      <c r="A123" t="str">
        <f>A63</f>
        <v>MODERNA INC</v>
      </c>
      <c r="B123" s="4">
        <f>E63</f>
        <v>0</v>
      </c>
    </row>
    <row r="124" spans="1:2">
      <c r="A124" t="str">
        <f>A64</f>
        <v>GSK</v>
      </c>
      <c r="B124" s="4">
        <f>E64</f>
        <v>0.10621886549895554</v>
      </c>
    </row>
    <row r="125" spans="1:2">
      <c r="A125" t="str">
        <f>A65</f>
        <v>AMGEN</v>
      </c>
      <c r="B125" s="4">
        <f>E65</f>
        <v>0</v>
      </c>
    </row>
    <row r="126" spans="1:2">
      <c r="A126" t="str">
        <f>A66</f>
        <v>MILLENNIUM</v>
      </c>
      <c r="B126" s="4">
        <f>E66</f>
        <v>0</v>
      </c>
    </row>
    <row r="127" spans="1:2">
      <c r="A127" t="str">
        <f>A67</f>
        <v>EXELIXIS INC</v>
      </c>
      <c r="B127" s="4">
        <f>E67</f>
        <v>2.777588880453763E-5</v>
      </c>
    </row>
    <row r="128" spans="1:2">
      <c r="A128" t="str">
        <f>A68</f>
        <v>ONYX HEALTHCARE</v>
      </c>
      <c r="B128" s="4">
        <f>E68</f>
        <v>2.5200977797901203E-5</v>
      </c>
    </row>
    <row r="129" spans="1:2">
      <c r="A129" t="str">
        <f>A69</f>
        <v>REGENERON PHARMAS</v>
      </c>
      <c r="B129" s="4">
        <f>E69</f>
        <v>0</v>
      </c>
    </row>
    <row r="130" spans="1:2">
      <c r="A130" t="str">
        <f>A70</f>
        <v>DAIICHI SANKYO</v>
      </c>
      <c r="B130" s="4">
        <f>E70</f>
        <v>8.7829727435151383E-5</v>
      </c>
    </row>
    <row r="131" spans="1:2">
      <c r="A131" t="str">
        <f>A71</f>
        <v>BAYER</v>
      </c>
      <c r="B131" s="4">
        <f>E71</f>
        <v>0</v>
      </c>
    </row>
    <row r="132" spans="1:2">
      <c r="A132" t="str">
        <f>A72</f>
        <v>BIOMARIN</v>
      </c>
      <c r="B132" s="4">
        <f>E72</f>
        <v>0.11475629351901451</v>
      </c>
    </row>
    <row r="133" spans="1:2">
      <c r="A133" t="str">
        <f>A73</f>
        <v>EISAI</v>
      </c>
      <c r="B133" s="4">
        <f>E73</f>
        <v>8.8757396449704595E-3</v>
      </c>
    </row>
    <row r="134" spans="1:2">
      <c r="A134" s="6" t="str">
        <f>A54</f>
        <v>ASTAZENECA</v>
      </c>
      <c r="B134" s="11">
        <f>F54</f>
        <v>0</v>
      </c>
    </row>
    <row r="135" spans="1:2">
      <c r="A135" t="str">
        <f>A55</f>
        <v>BRISTOL MYERS SQUIBB</v>
      </c>
      <c r="B135" s="4">
        <f>F55</f>
        <v>0</v>
      </c>
    </row>
    <row r="136" spans="1:2">
      <c r="A136" t="str">
        <f>A56</f>
        <v>HOFFMANN-LA ROCHE</v>
      </c>
      <c r="B136" s="4">
        <f>F56</f>
        <v>0</v>
      </c>
    </row>
    <row r="137" spans="1:2">
      <c r="A137" t="str">
        <f>A57</f>
        <v>PFIZER</v>
      </c>
      <c r="B137" s="4">
        <f>F57</f>
        <v>5.6818181818181768E-2</v>
      </c>
    </row>
    <row r="138" spans="1:2">
      <c r="A138" t="str">
        <f>A58</f>
        <v>TAKEDA PHARMS</v>
      </c>
      <c r="B138" s="4">
        <f>F58</f>
        <v>1</v>
      </c>
    </row>
    <row r="139" spans="1:2">
      <c r="A139" t="str">
        <f>A59</f>
        <v>EMD SERONO INC</v>
      </c>
      <c r="B139" s="4">
        <f>F59</f>
        <v>0</v>
      </c>
    </row>
    <row r="140" spans="1:2">
      <c r="A140" t="str">
        <f>A60</f>
        <v>NOVARTIS PHARM</v>
      </c>
      <c r="B140" s="4">
        <f>F60</f>
        <v>0</v>
      </c>
    </row>
    <row r="141" spans="1:2">
      <c r="A141" t="str">
        <f>A61</f>
        <v>BLUEPRINT MEDICINES</v>
      </c>
      <c r="B141" s="4">
        <f>F61</f>
        <v>0</v>
      </c>
    </row>
    <row r="142" spans="1:2">
      <c r="A142" t="str">
        <f>A62</f>
        <v>ELI LILLY AND COMPANY</v>
      </c>
      <c r="B142" s="4">
        <f>F62</f>
        <v>0</v>
      </c>
    </row>
    <row r="143" spans="1:2">
      <c r="A143" t="str">
        <f>A63</f>
        <v>MODERNA INC</v>
      </c>
      <c r="B143" s="4">
        <f>F63</f>
        <v>0</v>
      </c>
    </row>
    <row r="144" spans="1:2">
      <c r="A144" t="str">
        <f>A64</f>
        <v>GSK</v>
      </c>
      <c r="B144" s="4">
        <f>F64</f>
        <v>0</v>
      </c>
    </row>
    <row r="145" spans="1:2">
      <c r="A145" t="str">
        <f>A65</f>
        <v>AMGEN</v>
      </c>
      <c r="B145" s="4">
        <f>F65</f>
        <v>1</v>
      </c>
    </row>
    <row r="146" spans="1:2">
      <c r="A146" t="str">
        <f>A66</f>
        <v>MILLENNIUM</v>
      </c>
      <c r="B146" s="4">
        <f>F66</f>
        <v>0</v>
      </c>
    </row>
    <row r="147" spans="1:2">
      <c r="A147" t="str">
        <f>A67</f>
        <v>EXELIXIS INC</v>
      </c>
      <c r="B147" s="4">
        <f>F67</f>
        <v>0</v>
      </c>
    </row>
    <row r="148" spans="1:2">
      <c r="A148" t="str">
        <f>A68</f>
        <v>ONYX HEALTHCARE</v>
      </c>
      <c r="B148" s="4">
        <f>F68</f>
        <v>0</v>
      </c>
    </row>
    <row r="149" spans="1:2">
      <c r="A149" t="str">
        <f>A69</f>
        <v>REGENERON PHARMAS</v>
      </c>
      <c r="B149" s="4">
        <f>F69</f>
        <v>0</v>
      </c>
    </row>
    <row r="150" spans="1:2">
      <c r="A150" t="str">
        <f>A70</f>
        <v>DAIICHI SANKYO</v>
      </c>
      <c r="B150" s="4">
        <f>F70</f>
        <v>0</v>
      </c>
    </row>
    <row r="151" spans="1:2">
      <c r="A151" t="str">
        <f>A71</f>
        <v>BAYER</v>
      </c>
      <c r="B151" s="4">
        <f>F71</f>
        <v>0</v>
      </c>
    </row>
    <row r="152" spans="1:2">
      <c r="A152" t="str">
        <f>A72</f>
        <v>BIOMARIN</v>
      </c>
      <c r="B152" s="4">
        <f>F72</f>
        <v>0</v>
      </c>
    </row>
    <row r="153" spans="1:2">
      <c r="A153" t="str">
        <f>A73</f>
        <v>EISAI</v>
      </c>
      <c r="B153" s="4">
        <f>F73</f>
        <v>0</v>
      </c>
    </row>
    <row r="154" spans="1:2">
      <c r="A154" s="6" t="str">
        <f>A54</f>
        <v>ASTAZENECA</v>
      </c>
      <c r="B154" s="11">
        <f>G54</f>
        <v>0</v>
      </c>
    </row>
    <row r="155" spans="1:2">
      <c r="A155" t="str">
        <f>A55</f>
        <v>BRISTOL MYERS SQUIBB</v>
      </c>
      <c r="B155" s="4">
        <f>G55</f>
        <v>1</v>
      </c>
    </row>
    <row r="156" spans="1:2">
      <c r="A156" t="str">
        <f>A56</f>
        <v>HOFFMANN-LA ROCHE</v>
      </c>
      <c r="B156" s="4">
        <f>G56</f>
        <v>3.0515715593526505E-4</v>
      </c>
    </row>
    <row r="157" spans="1:2">
      <c r="A157" t="str">
        <f>A57</f>
        <v>PFIZER</v>
      </c>
      <c r="B157" s="4">
        <f>G57</f>
        <v>0</v>
      </c>
    </row>
    <row r="158" spans="1:2">
      <c r="A158" t="str">
        <f>A58</f>
        <v>TAKEDA PHARMS</v>
      </c>
      <c r="B158" s="4">
        <f>G58</f>
        <v>0</v>
      </c>
    </row>
    <row r="159" spans="1:2">
      <c r="A159" t="str">
        <f>A59</f>
        <v>EMD SERONO INC</v>
      </c>
      <c r="B159" s="4">
        <f>G59</f>
        <v>0</v>
      </c>
    </row>
    <row r="160" spans="1:2">
      <c r="A160" t="str">
        <f>A60</f>
        <v>NOVARTIS PHARM</v>
      </c>
      <c r="B160" s="4">
        <f>G60</f>
        <v>0</v>
      </c>
    </row>
    <row r="161" spans="1:12">
      <c r="A161" t="str">
        <f>A61</f>
        <v>BLUEPRINT MEDICINES</v>
      </c>
      <c r="B161" s="4">
        <f>G61</f>
        <v>1.967535661583919E-3</v>
      </c>
    </row>
    <row r="162" spans="1:12">
      <c r="A162" t="str">
        <f>A62</f>
        <v>ELI LILLY AND COMPANY</v>
      </c>
      <c r="B162" s="4">
        <f>G62</f>
        <v>0</v>
      </c>
    </row>
    <row r="163" spans="1:12">
      <c r="A163" t="str">
        <f>A63</f>
        <v>MODERNA INC</v>
      </c>
      <c r="B163" s="4">
        <f>G63</f>
        <v>1.615508885298711E-4</v>
      </c>
    </row>
    <row r="164" spans="1:12">
      <c r="A164" t="str">
        <f>A64</f>
        <v>GSK</v>
      </c>
      <c r="B164" s="4">
        <f>G64</f>
        <v>0</v>
      </c>
    </row>
    <row r="165" spans="1:12">
      <c r="A165" t="str">
        <f>A65</f>
        <v>AMGEN</v>
      </c>
      <c r="B165" s="4">
        <f>G65</f>
        <v>4.6054980364155451E-2</v>
      </c>
    </row>
    <row r="166" spans="1:12">
      <c r="A166" t="str">
        <f>A66</f>
        <v>MILLENNIUM</v>
      </c>
      <c r="B166" s="4">
        <f>G66</f>
        <v>0.64356435643564358</v>
      </c>
    </row>
    <row r="167" spans="1:12">
      <c r="A167" t="str">
        <f>A67</f>
        <v>EXELIXIS INC</v>
      </c>
      <c r="B167" s="4">
        <f>G67</f>
        <v>0</v>
      </c>
    </row>
    <row r="168" spans="1:12">
      <c r="A168" t="str">
        <f>A68</f>
        <v>ONYX HEALTHCARE</v>
      </c>
      <c r="B168" s="4">
        <f>G68</f>
        <v>0.20848056537102488</v>
      </c>
    </row>
    <row r="169" spans="1:12">
      <c r="A169" t="str">
        <f>A69</f>
        <v>REGENERON PHARMAS</v>
      </c>
      <c r="B169" s="4">
        <f>G69</f>
        <v>0</v>
      </c>
    </row>
    <row r="170" spans="1:12">
      <c r="A170" t="str">
        <f>A70</f>
        <v>DAIICHI SANKYO</v>
      </c>
      <c r="B170" s="4">
        <f>G70</f>
        <v>3.1813361611876534E-3</v>
      </c>
    </row>
    <row r="171" spans="1:12" ht="29.25">
      <c r="A171" t="str">
        <f>A71</f>
        <v>BAYER</v>
      </c>
      <c r="B171" s="4">
        <f>G71</f>
        <v>3.1250000000000111E-2</v>
      </c>
      <c r="E171" s="36" t="s">
        <v>50</v>
      </c>
      <c r="F171" s="8" t="s">
        <v>51</v>
      </c>
      <c r="G171" s="38" t="s">
        <v>52</v>
      </c>
      <c r="H171" s="38" t="s">
        <v>36</v>
      </c>
      <c r="I171" s="38" t="s">
        <v>37</v>
      </c>
      <c r="J171" s="38" t="s">
        <v>38</v>
      </c>
      <c r="K171" s="38" t="s">
        <v>5</v>
      </c>
      <c r="L171" s="38" t="s">
        <v>39</v>
      </c>
    </row>
    <row r="172" spans="1:12">
      <c r="A172" t="str">
        <f>A72</f>
        <v>BIOMARIN</v>
      </c>
      <c r="B172" s="4">
        <f>G72</f>
        <v>2.452599388379205</v>
      </c>
      <c r="E172" s="37" t="s">
        <v>53</v>
      </c>
      <c r="F172" s="4">
        <f>AVERAGE(B54:B173)</f>
        <v>0.11782741207589092</v>
      </c>
      <c r="G172" s="9">
        <f>AVERAGE(B54:B73)</f>
        <v>1.7546145469860609E-3</v>
      </c>
      <c r="H172" s="9">
        <f>AVERAGE(C54:C73)</f>
        <v>0.21559949608023293</v>
      </c>
      <c r="I172" s="9">
        <f>AVERAGE(D54:D73)</f>
        <v>0.1015551048005409</v>
      </c>
      <c r="J172" s="9">
        <f>AVERAGE(E54:E73)</f>
        <v>6.5836104415813404E-2</v>
      </c>
      <c r="K172" s="9">
        <f>AVERAGE(F54:F73)</f>
        <v>0.10284090909090908</v>
      </c>
      <c r="L172" s="9">
        <f>AVERAGE(G54:G73)</f>
        <v>0.21937824352086333</v>
      </c>
    </row>
    <row r="173" spans="1:12">
      <c r="A173" t="str">
        <f>A73</f>
        <v>EISAI</v>
      </c>
      <c r="B173" s="4">
        <f>G73</f>
        <v>0</v>
      </c>
      <c r="E173" s="37" t="s">
        <v>54</v>
      </c>
      <c r="F173" s="4">
        <f>MEDIAN(B54:B173)</f>
        <v>0</v>
      </c>
      <c r="G173" s="9">
        <f>MEDIAN(B54:B73)</f>
        <v>0</v>
      </c>
      <c r="H173" s="9">
        <f>MEDIAN(C54:C73)</f>
        <v>0</v>
      </c>
      <c r="I173" s="9">
        <f>MEDIAN(D54:D73)</f>
        <v>0</v>
      </c>
      <c r="J173" s="9">
        <f>MEDIAN(E54:E73)</f>
        <v>2.6488433301219416E-5</v>
      </c>
      <c r="K173" s="9">
        <f>MEDIAN(F54:F73)</f>
        <v>0</v>
      </c>
      <c r="L173" s="9">
        <f>MEDIAN(G54:G73)</f>
        <v>8.0775444264935548E-5</v>
      </c>
    </row>
    <row r="174" spans="1:12">
      <c r="E174" s="15" t="s">
        <v>55</v>
      </c>
      <c r="F174" s="10">
        <f>_xlfn.STDEV.S(B54:B173)</f>
        <v>0.41338058695292029</v>
      </c>
      <c r="G174" s="10">
        <f>STDEV(B54:B73)</f>
        <v>7.5744994737910404E-3</v>
      </c>
      <c r="H174" s="10">
        <f>STDEV(C54:C73)</f>
        <v>0.58761840220485739</v>
      </c>
      <c r="I174" s="10">
        <f>STDEV(D54:D73)</f>
        <v>0.44690152890148954</v>
      </c>
      <c r="J174" s="10">
        <f>STDEV(E54:E73)</f>
        <v>0.22276119536454284</v>
      </c>
      <c r="K174" s="10">
        <f>STDEV(F54:F73)</f>
        <v>0.30708332952167466</v>
      </c>
      <c r="L174" s="10">
        <f>STDEV(G54:G73)</f>
        <v>0.58550286292239895</v>
      </c>
    </row>
    <row r="176" spans="1:12">
      <c r="A176" s="6" t="s">
        <v>56</v>
      </c>
      <c r="B176" s="6"/>
    </row>
    <row r="177" spans="1:2">
      <c r="A177" s="6">
        <v>0</v>
      </c>
      <c r="B177" s="11">
        <f>MIN($B$54:$B$173)</f>
        <v>0</v>
      </c>
    </row>
    <row r="178" spans="1:2">
      <c r="A178" s="6">
        <v>1</v>
      </c>
      <c r="B178" s="11">
        <f>_xlfn.PERCENTILE.INC($B$54:$B$173,A178/100)</f>
        <v>0</v>
      </c>
    </row>
    <row r="179" spans="1:2">
      <c r="A179" s="6">
        <f>A178+1</f>
        <v>2</v>
      </c>
      <c r="B179" s="11">
        <f t="shared" ref="B179:B227" si="0">_xlfn.PERCENTILE.INC($B$54:$B$173,A179/100)</f>
        <v>0</v>
      </c>
    </row>
    <row r="180" spans="1:2">
      <c r="A180" s="6">
        <f t="shared" ref="A180:A227" si="1">A179+1</f>
        <v>3</v>
      </c>
      <c r="B180" s="11">
        <f t="shared" si="0"/>
        <v>0</v>
      </c>
    </row>
    <row r="181" spans="1:2">
      <c r="A181" s="6">
        <f t="shared" si="1"/>
        <v>4</v>
      </c>
      <c r="B181" s="11">
        <f t="shared" si="0"/>
        <v>0</v>
      </c>
    </row>
    <row r="182" spans="1:2">
      <c r="A182" s="6">
        <f t="shared" si="1"/>
        <v>5</v>
      </c>
      <c r="B182" s="11">
        <f t="shared" si="0"/>
        <v>0</v>
      </c>
    </row>
    <row r="183" spans="1:2">
      <c r="A183" s="6">
        <f t="shared" si="1"/>
        <v>6</v>
      </c>
      <c r="B183" s="11">
        <f t="shared" si="0"/>
        <v>0</v>
      </c>
    </row>
    <row r="184" spans="1:2">
      <c r="A184" s="6">
        <f t="shared" si="1"/>
        <v>7</v>
      </c>
      <c r="B184" s="11">
        <f t="shared" si="0"/>
        <v>0</v>
      </c>
    </row>
    <row r="185" spans="1:2">
      <c r="A185" s="6">
        <f t="shared" si="1"/>
        <v>8</v>
      </c>
      <c r="B185" s="11">
        <f t="shared" si="0"/>
        <v>0</v>
      </c>
    </row>
    <row r="186" spans="1:2">
      <c r="A186" s="6">
        <f t="shared" si="1"/>
        <v>9</v>
      </c>
      <c r="B186" s="11">
        <f t="shared" si="0"/>
        <v>0</v>
      </c>
    </row>
    <row r="187" spans="1:2">
      <c r="A187" s="6">
        <f t="shared" si="1"/>
        <v>10</v>
      </c>
      <c r="B187" s="11">
        <f t="shared" si="0"/>
        <v>0</v>
      </c>
    </row>
    <row r="188" spans="1:2">
      <c r="A188" s="6">
        <f t="shared" si="1"/>
        <v>11</v>
      </c>
      <c r="B188" s="11">
        <f t="shared" si="0"/>
        <v>0</v>
      </c>
    </row>
    <row r="189" spans="1:2">
      <c r="A189" s="6">
        <f t="shared" si="1"/>
        <v>12</v>
      </c>
      <c r="B189" s="11">
        <f t="shared" si="0"/>
        <v>0</v>
      </c>
    </row>
    <row r="190" spans="1:2">
      <c r="A190" s="6">
        <f t="shared" si="1"/>
        <v>13</v>
      </c>
      <c r="B190" s="11">
        <f t="shared" si="0"/>
        <v>0</v>
      </c>
    </row>
    <row r="191" spans="1:2">
      <c r="A191" s="6">
        <f t="shared" si="1"/>
        <v>14</v>
      </c>
      <c r="B191" s="11">
        <f t="shared" si="0"/>
        <v>0</v>
      </c>
    </row>
    <row r="192" spans="1:2">
      <c r="A192" s="6">
        <f t="shared" si="1"/>
        <v>15</v>
      </c>
      <c r="B192" s="11">
        <f t="shared" si="0"/>
        <v>0</v>
      </c>
    </row>
    <row r="193" spans="1:2">
      <c r="A193" s="6">
        <f t="shared" si="1"/>
        <v>16</v>
      </c>
      <c r="B193" s="11">
        <f t="shared" si="0"/>
        <v>0</v>
      </c>
    </row>
    <row r="194" spans="1:2">
      <c r="A194" s="6">
        <f t="shared" si="1"/>
        <v>17</v>
      </c>
      <c r="B194" s="11">
        <f t="shared" si="0"/>
        <v>0</v>
      </c>
    </row>
    <row r="195" spans="1:2">
      <c r="A195" s="6">
        <f t="shared" si="1"/>
        <v>18</v>
      </c>
      <c r="B195" s="11">
        <f t="shared" si="0"/>
        <v>0</v>
      </c>
    </row>
    <row r="196" spans="1:2">
      <c r="A196" s="6">
        <f t="shared" si="1"/>
        <v>19</v>
      </c>
      <c r="B196" s="11">
        <f t="shared" si="0"/>
        <v>0</v>
      </c>
    </row>
    <row r="197" spans="1:2">
      <c r="A197" s="6">
        <f t="shared" si="1"/>
        <v>20</v>
      </c>
      <c r="B197" s="11">
        <f t="shared" si="0"/>
        <v>0</v>
      </c>
    </row>
    <row r="198" spans="1:2">
      <c r="A198" s="6">
        <f t="shared" si="1"/>
        <v>21</v>
      </c>
      <c r="B198" s="11">
        <f t="shared" si="0"/>
        <v>0</v>
      </c>
    </row>
    <row r="199" spans="1:2">
      <c r="A199" s="6">
        <f t="shared" si="1"/>
        <v>22</v>
      </c>
      <c r="B199" s="11">
        <f t="shared" si="0"/>
        <v>0</v>
      </c>
    </row>
    <row r="200" spans="1:2">
      <c r="A200" s="6">
        <f t="shared" si="1"/>
        <v>23</v>
      </c>
      <c r="B200" s="11">
        <f t="shared" si="0"/>
        <v>0</v>
      </c>
    </row>
    <row r="201" spans="1:2">
      <c r="A201" s="6">
        <f t="shared" si="1"/>
        <v>24</v>
      </c>
      <c r="B201" s="11">
        <f t="shared" si="0"/>
        <v>0</v>
      </c>
    </row>
    <row r="202" spans="1:2">
      <c r="A202" s="6">
        <f t="shared" si="1"/>
        <v>25</v>
      </c>
      <c r="B202" s="11">
        <f t="shared" si="0"/>
        <v>0</v>
      </c>
    </row>
    <row r="203" spans="1:2">
      <c r="A203" s="6">
        <f t="shared" si="1"/>
        <v>26</v>
      </c>
      <c r="B203" s="11">
        <f t="shared" si="0"/>
        <v>0</v>
      </c>
    </row>
    <row r="204" spans="1:2">
      <c r="A204" s="6">
        <f t="shared" si="1"/>
        <v>27</v>
      </c>
      <c r="B204" s="11">
        <f t="shared" si="0"/>
        <v>0</v>
      </c>
    </row>
    <row r="205" spans="1:2">
      <c r="A205" s="6">
        <f t="shared" si="1"/>
        <v>28</v>
      </c>
      <c r="B205" s="11">
        <f t="shared" si="0"/>
        <v>0</v>
      </c>
    </row>
    <row r="206" spans="1:2">
      <c r="A206" s="6">
        <f t="shared" si="1"/>
        <v>29</v>
      </c>
      <c r="B206" s="11">
        <f t="shared" si="0"/>
        <v>0</v>
      </c>
    </row>
    <row r="207" spans="1:2">
      <c r="A207" s="6">
        <f t="shared" si="1"/>
        <v>30</v>
      </c>
      <c r="B207" s="11">
        <f t="shared" si="0"/>
        <v>0</v>
      </c>
    </row>
    <row r="208" spans="1:2">
      <c r="A208" s="6">
        <f t="shared" si="1"/>
        <v>31</v>
      </c>
      <c r="B208" s="11">
        <f t="shared" si="0"/>
        <v>0</v>
      </c>
    </row>
    <row r="209" spans="1:2">
      <c r="A209" s="6">
        <f t="shared" si="1"/>
        <v>32</v>
      </c>
      <c r="B209" s="11">
        <f t="shared" si="0"/>
        <v>0</v>
      </c>
    </row>
    <row r="210" spans="1:2">
      <c r="A210" s="6">
        <f t="shared" si="1"/>
        <v>33</v>
      </c>
      <c r="B210" s="11">
        <f t="shared" si="0"/>
        <v>0</v>
      </c>
    </row>
    <row r="211" spans="1:2">
      <c r="A211" s="6">
        <f t="shared" si="1"/>
        <v>34</v>
      </c>
      <c r="B211" s="11">
        <f t="shared" si="0"/>
        <v>0</v>
      </c>
    </row>
    <row r="212" spans="1:2">
      <c r="A212" s="6">
        <f t="shared" si="1"/>
        <v>35</v>
      </c>
      <c r="B212" s="11">
        <f t="shared" si="0"/>
        <v>0</v>
      </c>
    </row>
    <row r="213" spans="1:2">
      <c r="A213" s="6">
        <f t="shared" si="1"/>
        <v>36</v>
      </c>
      <c r="B213" s="11">
        <f t="shared" si="0"/>
        <v>0</v>
      </c>
    </row>
    <row r="214" spans="1:2">
      <c r="A214" s="6">
        <f t="shared" si="1"/>
        <v>37</v>
      </c>
      <c r="B214" s="11">
        <f t="shared" si="0"/>
        <v>0</v>
      </c>
    </row>
    <row r="215" spans="1:2">
      <c r="A215" s="6">
        <f t="shared" si="1"/>
        <v>38</v>
      </c>
      <c r="B215" s="11">
        <f t="shared" si="0"/>
        <v>0</v>
      </c>
    </row>
    <row r="216" spans="1:2">
      <c r="A216" s="6">
        <f t="shared" si="1"/>
        <v>39</v>
      </c>
      <c r="B216" s="11">
        <f t="shared" si="0"/>
        <v>0</v>
      </c>
    </row>
    <row r="217" spans="1:2">
      <c r="A217" s="6">
        <f t="shared" si="1"/>
        <v>40</v>
      </c>
      <c r="B217" s="11">
        <f t="shared" si="0"/>
        <v>0</v>
      </c>
    </row>
    <row r="218" spans="1:2">
      <c r="A218" s="6">
        <f>A217+1</f>
        <v>41</v>
      </c>
      <c r="B218" s="11">
        <f t="shared" si="0"/>
        <v>0</v>
      </c>
    </row>
    <row r="219" spans="1:2">
      <c r="A219" s="6">
        <f t="shared" si="1"/>
        <v>42</v>
      </c>
      <c r="B219" s="11">
        <f t="shared" si="0"/>
        <v>0</v>
      </c>
    </row>
    <row r="220" spans="1:2">
      <c r="A220" s="6">
        <f t="shared" si="1"/>
        <v>43</v>
      </c>
      <c r="B220" s="11">
        <f t="shared" si="0"/>
        <v>0</v>
      </c>
    </row>
    <row r="221" spans="1:2">
      <c r="A221" s="6">
        <f t="shared" si="1"/>
        <v>44</v>
      </c>
      <c r="B221" s="11">
        <f t="shared" si="0"/>
        <v>0</v>
      </c>
    </row>
    <row r="222" spans="1:2">
      <c r="A222" s="6">
        <f t="shared" si="1"/>
        <v>45</v>
      </c>
      <c r="B222" s="11">
        <f t="shared" si="0"/>
        <v>0</v>
      </c>
    </row>
    <row r="223" spans="1:2">
      <c r="A223" s="6">
        <f t="shared" si="1"/>
        <v>46</v>
      </c>
      <c r="B223" s="11">
        <f t="shared" si="0"/>
        <v>0</v>
      </c>
    </row>
    <row r="224" spans="1:2">
      <c r="A224" s="6">
        <f t="shared" si="1"/>
        <v>47</v>
      </c>
      <c r="B224" s="11">
        <f t="shared" si="0"/>
        <v>0</v>
      </c>
    </row>
    <row r="225" spans="1:2">
      <c r="A225" s="6">
        <f t="shared" si="1"/>
        <v>48</v>
      </c>
      <c r="B225" s="11">
        <f t="shared" si="0"/>
        <v>0</v>
      </c>
    </row>
    <row r="226" spans="1:2">
      <c r="A226" s="6">
        <f>A225+1</f>
        <v>49</v>
      </c>
      <c r="B226" s="11">
        <f t="shared" si="0"/>
        <v>0</v>
      </c>
    </row>
    <row r="227" spans="1:2">
      <c r="A227" s="6">
        <f t="shared" si="1"/>
        <v>50</v>
      </c>
      <c r="B227" s="11">
        <f t="shared" si="0"/>
        <v>0</v>
      </c>
    </row>
    <row r="228" spans="1:2">
      <c r="A228" s="6">
        <v>51</v>
      </c>
      <c r="B228" s="11">
        <f>_xlfn.PERCENTILE.INC($B$54:$B$173,A228/100)</f>
        <v>0</v>
      </c>
    </row>
    <row r="229" spans="1:2">
      <c r="A229" s="6">
        <f>A228+1</f>
        <v>52</v>
      </c>
      <c r="B229" s="11">
        <f>_xlfn.PERCENTILE.INC($B$54:$B$173,A229/100)</f>
        <v>0</v>
      </c>
    </row>
    <row r="230" spans="1:2">
      <c r="A230" s="6">
        <f>A229+1</f>
        <v>53</v>
      </c>
      <c r="B230" s="11">
        <f>_xlfn.PERCENTILE.INC($B$54:$B$173,A230/100)</f>
        <v>0</v>
      </c>
    </row>
    <row r="231" spans="1:2">
      <c r="A231" s="6">
        <f>A230+1</f>
        <v>54</v>
      </c>
      <c r="B231" s="11">
        <f>_xlfn.PERCENTILE.INC($B$54:$B$173,A231/100)</f>
        <v>0</v>
      </c>
    </row>
    <row r="232" spans="1:2">
      <c r="A232" s="6">
        <f>A231+1</f>
        <v>55</v>
      </c>
      <c r="B232" s="11">
        <f>_xlfn.PERCENTILE.INC($B$54:$B$173,A232/100)</f>
        <v>0</v>
      </c>
    </row>
    <row r="233" spans="1:2">
      <c r="A233" s="6">
        <f>A232+1</f>
        <v>56</v>
      </c>
      <c r="B233" s="11">
        <f>_xlfn.PERCENTILE.INC($B$54:$B$173,A233/100)</f>
        <v>0</v>
      </c>
    </row>
    <row r="234" spans="1:2">
      <c r="A234" s="6">
        <f>A233+1</f>
        <v>57</v>
      </c>
      <c r="B234" s="11">
        <f>_xlfn.PERCENTILE.INC($B$54:$B$173,A234/100)</f>
        <v>0</v>
      </c>
    </row>
    <row r="235" spans="1:2">
      <c r="A235" s="6">
        <f>A234+1</f>
        <v>58</v>
      </c>
      <c r="B235" s="11">
        <f>_xlfn.PERCENTILE.INC($B$54:$B$173,A235/100)</f>
        <v>0</v>
      </c>
    </row>
    <row r="236" spans="1:2">
      <c r="A236" s="6">
        <f>A235+1</f>
        <v>59</v>
      </c>
      <c r="B236" s="11">
        <f>_xlfn.PERCENTILE.INC($B$54:$B$173,A236/100)</f>
        <v>0</v>
      </c>
    </row>
    <row r="237" spans="1:2">
      <c r="A237" s="6">
        <f>A236+1</f>
        <v>60</v>
      </c>
      <c r="B237" s="11">
        <f>_xlfn.PERCENTILE.INC($B$54:$B$173,A237/100)</f>
        <v>0</v>
      </c>
    </row>
    <row r="238" spans="1:2">
      <c r="A238" s="6">
        <f>A237+1</f>
        <v>61</v>
      </c>
      <c r="B238" s="11">
        <f>_xlfn.PERCENTILE.INC($B$54:$B$173,A238/100)</f>
        <v>0</v>
      </c>
    </row>
    <row r="239" spans="1:2">
      <c r="A239" s="6">
        <f>A238+1</f>
        <v>62</v>
      </c>
      <c r="B239" s="11">
        <f>_xlfn.PERCENTILE.INC($B$54:$B$173,A239/100)</f>
        <v>0</v>
      </c>
    </row>
    <row r="240" spans="1:2">
      <c r="A240" s="6">
        <f>A239+1</f>
        <v>63</v>
      </c>
      <c r="B240" s="11">
        <f>_xlfn.PERCENTILE.INC($B$54:$B$173,A240/100)</f>
        <v>0</v>
      </c>
    </row>
    <row r="241" spans="1:2">
      <c r="A241" s="6">
        <f>A240+1</f>
        <v>64</v>
      </c>
      <c r="B241" s="11">
        <f>_xlfn.PERCENTILE.INC($B$54:$B$173,A241/100)</f>
        <v>0</v>
      </c>
    </row>
    <row r="242" spans="1:2">
      <c r="A242" s="6">
        <f>A241+1</f>
        <v>65</v>
      </c>
      <c r="B242" s="11">
        <f>_xlfn.PERCENTILE.INC($B$54:$B$173,A242/100)</f>
        <v>0</v>
      </c>
    </row>
    <row r="243" spans="1:2">
      <c r="A243" s="6">
        <f>A242+1</f>
        <v>66</v>
      </c>
      <c r="B243" s="11">
        <f>_xlfn.PERCENTILE.INC($B$54:$B$173,A243/100)</f>
        <v>0</v>
      </c>
    </row>
    <row r="244" spans="1:2">
      <c r="A244" s="6">
        <f>A243+1</f>
        <v>67</v>
      </c>
      <c r="B244" s="11">
        <f>_xlfn.PERCENTILE.INC($B$54:$B$173,A244/100)</f>
        <v>3.1908941497138697E-6</v>
      </c>
    </row>
    <row r="245" spans="1:2">
      <c r="A245" s="6">
        <f>A244+1</f>
        <v>68</v>
      </c>
      <c r="B245" s="11">
        <f>_xlfn.PERCENTILE.INC($B$54:$B$173,A245/100)</f>
        <v>1.0237146903739902E-5</v>
      </c>
    </row>
    <row r="246" spans="1:2">
      <c r="A246" s="6">
        <f>A245+1</f>
        <v>69</v>
      </c>
      <c r="B246" s="11">
        <f>_xlfn.PERCENTILE.INC($B$54:$B$173,A246/100)</f>
        <v>1.8087193151825603E-5</v>
      </c>
    </row>
    <row r="247" spans="1:2">
      <c r="A247" s="6">
        <f>A246+1</f>
        <v>70</v>
      </c>
      <c r="B247" s="11">
        <f>_xlfn.PERCENTILE.INC($B$54:$B$173,A247/100)</f>
        <v>2.5973451099892124E-5</v>
      </c>
    </row>
    <row r="248" spans="1:2">
      <c r="A248" s="6">
        <f>A247+1</f>
        <v>71</v>
      </c>
      <c r="B248" s="11">
        <f>_xlfn.PERCENTILE.INC($B$54:$B$173,A248/100)</f>
        <v>3.7077888832297474E-5</v>
      </c>
    </row>
    <row r="249" spans="1:2">
      <c r="A249" s="6">
        <f>A248+1</f>
        <v>72</v>
      </c>
      <c r="B249" s="11">
        <f>_xlfn.PERCENTILE.INC($B$54:$B$173,A249/100)</f>
        <v>6.9498307359374434E-5</v>
      </c>
    </row>
    <row r="250" spans="1:2">
      <c r="A250" s="6">
        <f>A249+1</f>
        <v>73</v>
      </c>
      <c r="B250" s="11">
        <f>_xlfn.PERCENTILE.INC($B$54:$B$173,A250/100)</f>
        <v>8.6793003620129242E-5</v>
      </c>
    </row>
    <row r="251" spans="1:2">
      <c r="A251" s="6">
        <f>A250+1</f>
        <v>74</v>
      </c>
      <c r="B251" s="11">
        <f>_xlfn.PERCENTILE.INC($B$54:$B$173,A251/100)</f>
        <v>8.9012250488682592E-5</v>
      </c>
    </row>
    <row r="252" spans="1:2">
      <c r="A252" s="6">
        <f>A251+1</f>
        <v>75</v>
      </c>
      <c r="B252" s="11">
        <f>_xlfn.PERCENTILE.INC($B$54:$B$173,A252/100)</f>
        <v>1.139827232269075E-4</v>
      </c>
    </row>
    <row r="253" spans="1:2">
      <c r="A253" s="6">
        <f>A252+1</f>
        <v>76</v>
      </c>
      <c r="B253" s="11">
        <f>_xlfn.PERCENTILE.INC($B$54:$B$173,A253/100)</f>
        <v>1.4573910339148893E-4</v>
      </c>
    </row>
    <row r="254" spans="1:2">
      <c r="A254" s="6">
        <f>A253+1</f>
        <v>77</v>
      </c>
      <c r="B254" s="11">
        <f>_xlfn.PERCENTILE.INC($B$54:$B$173,A254/100)</f>
        <v>1.6426876987402414E-4</v>
      </c>
    </row>
    <row r="255" spans="1:2">
      <c r="A255" s="6">
        <f>A254+1</f>
        <v>78</v>
      </c>
      <c r="B255" s="11">
        <f>_xlfn.PERCENTILE.INC($B$54:$B$173,A255/100)</f>
        <v>2.8008456532919605E-4</v>
      </c>
    </row>
    <row r="256" spans="1:2">
      <c r="A256" s="6">
        <f>A255+1</f>
        <v>79</v>
      </c>
      <c r="B256" s="11">
        <f>_xlfn.PERCENTILE.INC($B$54:$B$173,A256/100)</f>
        <v>9.3368221496451615E-4</v>
      </c>
    </row>
    <row r="257" spans="1:2">
      <c r="A257" s="6">
        <f>A256+1</f>
        <v>80</v>
      </c>
      <c r="B257" s="11">
        <f>_xlfn.PERCENTILE.INC($B$54:$B$173,A257/100)</f>
        <v>1.9685058468213779E-3</v>
      </c>
    </row>
    <row r="258" spans="1:2">
      <c r="A258" s="6">
        <f>A257+1</f>
        <v>81</v>
      </c>
      <c r="B258" s="11">
        <f>_xlfn.PERCENTILE.INC($B$54:$B$173,A258/100)</f>
        <v>2.4438769214036255E-3</v>
      </c>
    </row>
    <row r="259" spans="1:2">
      <c r="A259" s="6">
        <f>A258+1</f>
        <v>82</v>
      </c>
      <c r="B259" s="11">
        <f>_xlfn.PERCENTILE.INC($B$54:$B$173,A259/100)</f>
        <v>6.484090181781671E-3</v>
      </c>
    </row>
    <row r="260" spans="1:2">
      <c r="A260" s="6">
        <f>A259+1</f>
        <v>83</v>
      </c>
      <c r="B260" s="11">
        <f>_xlfn.PERCENTILE.INC($B$54:$B$173,A260/100)</f>
        <v>1.6213199259447468E-2</v>
      </c>
    </row>
    <row r="261" spans="1:2">
      <c r="A261" s="6">
        <f>A260+1</f>
        <v>84</v>
      </c>
      <c r="B261" s="11">
        <f>_xlfn.PERCENTILE.INC($B$54:$B$173,A261/100)</f>
        <v>3.0594208489403748E-2</v>
      </c>
    </row>
    <row r="262" spans="1:2">
      <c r="A262" s="6">
        <f>A261+1</f>
        <v>85</v>
      </c>
      <c r="B262" s="11">
        <f>_xlfn.PERCENTILE.INC($B$54:$B$173,A262/100)</f>
        <v>3.1650981642420875E-2</v>
      </c>
    </row>
    <row r="263" spans="1:2">
      <c r="A263" s="6">
        <f>A262+1</f>
        <v>86</v>
      </c>
      <c r="B263" s="11">
        <f>_xlfn.PERCENTILE.INC($B$54:$B$173,A263/100)</f>
        <v>3.8048012550464437E-2</v>
      </c>
    </row>
    <row r="264" spans="1:2">
      <c r="A264" s="6">
        <f>A263+1</f>
        <v>87</v>
      </c>
      <c r="B264" s="11">
        <f>_xlfn.PERCENTILE.INC($B$54:$B$173,A264/100)</f>
        <v>5.1759477134789414E-2</v>
      </c>
    </row>
    <row r="265" spans="1:2">
      <c r="A265" s="6">
        <f>A264+1</f>
        <v>88</v>
      </c>
      <c r="B265" s="11">
        <f>_xlfn.PERCENTILE.INC($B$54:$B$173,A265/100)</f>
        <v>6.4992338404174635E-2</v>
      </c>
    </row>
    <row r="266" spans="1:2">
      <c r="A266" s="6">
        <f>A265+1</f>
        <v>89</v>
      </c>
      <c r="B266" s="11">
        <f>_xlfn.PERCENTILE.INC($B$54:$B$173,A266/100)</f>
        <v>0.10279457354093488</v>
      </c>
    </row>
    <row r="267" spans="1:2">
      <c r="A267" s="6">
        <f>A266+1</f>
        <v>90</v>
      </c>
      <c r="B267" s="11">
        <f>_xlfn.PERCENTILE.INC($B$54:$B$173,A267/100)</f>
        <v>0.12406890959678619</v>
      </c>
    </row>
    <row r="268" spans="1:2">
      <c r="A268" s="6">
        <f>A267+1</f>
        <v>91</v>
      </c>
      <c r="B268" s="11">
        <f>_xlfn.PERCENTILE.INC($B$54:$B$173,A268/100)</f>
        <v>0.20805590650827088</v>
      </c>
    </row>
    <row r="269" spans="1:2">
      <c r="A269" s="6">
        <f>A268+1</f>
        <v>92</v>
      </c>
      <c r="B269" s="11">
        <f>_xlfn.PERCENTILE.INC($B$54:$B$173,A269/100)</f>
        <v>0.41732078508204362</v>
      </c>
    </row>
    <row r="270" spans="1:2">
      <c r="A270" s="6">
        <f>A269+1</f>
        <v>93</v>
      </c>
      <c r="B270" s="11">
        <f>_xlfn.PERCENTILE.INC($B$54:$B$173,A270/100)</f>
        <v>0.6454949573855786</v>
      </c>
    </row>
    <row r="271" spans="1:2">
      <c r="A271" s="6">
        <f>A270+1</f>
        <v>94</v>
      </c>
      <c r="B271" s="11">
        <f>_xlfn.PERCENTILE.INC($B$54:$B$173,A271/100)</f>
        <v>0.95050241905470767</v>
      </c>
    </row>
    <row r="272" spans="1:2">
      <c r="A272" s="6">
        <f>A271+1</f>
        <v>95</v>
      </c>
      <c r="B272" s="11">
        <f>_xlfn.PERCENTILE.INC($B$54:$B$173,A272/100)</f>
        <v>1</v>
      </c>
    </row>
    <row r="273" spans="1:7">
      <c r="A273" s="6">
        <f>A272+1</f>
        <v>96</v>
      </c>
      <c r="B273" s="11">
        <f>_xlfn.PERCENTILE.INC($B$54:$B$173,A273/100)</f>
        <v>1</v>
      </c>
    </row>
    <row r="274" spans="1:7">
      <c r="A274" s="6">
        <f>A273+1</f>
        <v>97</v>
      </c>
      <c r="B274" s="11">
        <f>_xlfn.PERCENTILE.INC($B$54:$B$173,A274/100)</f>
        <v>1</v>
      </c>
    </row>
    <row r="275" spans="1:7">
      <c r="A275" s="6">
        <f>A274+1</f>
        <v>98</v>
      </c>
      <c r="B275" s="11">
        <f>_xlfn.PERCENTILE.INC($B$54:$B$173,A275/100)</f>
        <v>1.6200000000000045</v>
      </c>
    </row>
    <row r="276" spans="1:7">
      <c r="A276" s="6">
        <f>A275+1</f>
        <v>99</v>
      </c>
      <c r="B276" s="11">
        <f>_xlfn.PERCENTILE.INC($B$54:$B$173,A276/100)</f>
        <v>2.3666055045871572</v>
      </c>
    </row>
    <row r="277" spans="1:7">
      <c r="A277" s="6">
        <v>100</v>
      </c>
      <c r="B277" s="11">
        <f>MAX($B$54:$B$173)</f>
        <v>2.455435587013036</v>
      </c>
    </row>
    <row r="279" spans="1:7">
      <c r="A279" s="6" t="s">
        <v>0</v>
      </c>
      <c r="B279" s="6" t="s">
        <v>35</v>
      </c>
      <c r="C279" s="6" t="s">
        <v>36</v>
      </c>
      <c r="D279" s="6" t="s">
        <v>37</v>
      </c>
      <c r="E279" s="6" t="s">
        <v>57</v>
      </c>
      <c r="F279" s="6" t="s">
        <v>5</v>
      </c>
      <c r="G279" s="6" t="s">
        <v>58</v>
      </c>
    </row>
    <row r="280" spans="1:7">
      <c r="A280" s="6" t="str">
        <f>A54</f>
        <v>ASTAZENECA</v>
      </c>
      <c r="B280" s="11">
        <f>(B29/E6-1)</f>
        <v>0</v>
      </c>
      <c r="C280" s="11">
        <f>(C29/F6-1)</f>
        <v>0</v>
      </c>
      <c r="D280" s="11">
        <f>(D29/G6-1)</f>
        <v>0</v>
      </c>
      <c r="E280" s="11">
        <f>(E29/H6-1)</f>
        <v>0</v>
      </c>
      <c r="F280" s="11">
        <f>(F29/I6-1)</f>
        <v>0</v>
      </c>
      <c r="G280" s="11">
        <f>(G29/J6-1)</f>
        <v>0</v>
      </c>
    </row>
    <row r="281" spans="1:7">
      <c r="A281" s="6" t="s">
        <v>8</v>
      </c>
      <c r="B281" s="11">
        <f>(B30/E7-1)</f>
        <v>-1.3331555792561733E-4</v>
      </c>
      <c r="C281" s="11">
        <f>(C30/F7-1)</f>
        <v>-1</v>
      </c>
      <c r="D281" s="11">
        <f>(D30/G7-1)</f>
        <v>0</v>
      </c>
      <c r="E281" s="11">
        <f>(E30/H7-1)</f>
        <v>1.0753844499400422E-4</v>
      </c>
      <c r="F281" s="11">
        <f>(F30/I7-1)</f>
        <v>0</v>
      </c>
      <c r="G281" s="11">
        <f>(G30/J7-1)</f>
        <v>-1</v>
      </c>
    </row>
    <row r="282" spans="1:7">
      <c r="A282" s="6" t="s">
        <v>43</v>
      </c>
      <c r="B282" s="11">
        <f>(B31/E8-1)</f>
        <v>0</v>
      </c>
      <c r="C282" s="11">
        <f>(C31/F8-1)</f>
        <v>0</v>
      </c>
      <c r="D282" s="11">
        <f>(D31/G8-1)</f>
        <v>0</v>
      </c>
      <c r="E282" s="11">
        <f>(E31/H8-1)</f>
        <v>0</v>
      </c>
      <c r="F282" s="11">
        <f>(F31/I8-1)</f>
        <v>0</v>
      </c>
      <c r="G282" s="11">
        <f>(G31/J8-1)</f>
        <v>-3.0515715593526505E-4</v>
      </c>
    </row>
    <row r="283" spans="1:7">
      <c r="A283" s="6" t="s">
        <v>10</v>
      </c>
      <c r="B283" s="11">
        <f>(B32/E9-1)</f>
        <v>0</v>
      </c>
      <c r="C283" s="11">
        <f>(C32/F9-1)</f>
        <v>0</v>
      </c>
      <c r="D283" s="11">
        <f>(D32/G9-1)</f>
        <v>0</v>
      </c>
      <c r="E283" s="11">
        <f>(E32/H9-1)</f>
        <v>6.8171177076505218E-2</v>
      </c>
      <c r="F283" s="11">
        <f>(F32/I9-1)</f>
        <v>-5.6818181818181768E-2</v>
      </c>
      <c r="G283" s="11">
        <f>(G32/J9-1)</f>
        <v>0</v>
      </c>
    </row>
    <row r="284" spans="1:7">
      <c r="A284" s="6" t="s">
        <v>59</v>
      </c>
      <c r="B284" s="11">
        <f>(B33/E10-1)</f>
        <v>0</v>
      </c>
      <c r="C284" s="11">
        <f>(C33/F10-1)</f>
        <v>0</v>
      </c>
      <c r="D284" s="11">
        <f>(D33/G10-1)</f>
        <v>0</v>
      </c>
      <c r="E284" s="11">
        <f>(E33/H10-1)</f>
        <v>-1</v>
      </c>
      <c r="F284" s="11">
        <f>(F33/I10-1)</f>
        <v>-1</v>
      </c>
      <c r="G284" s="11">
        <f>(G33/J10-1)</f>
        <v>0</v>
      </c>
    </row>
    <row r="285" spans="1:7">
      <c r="A285" s="6" t="s">
        <v>45</v>
      </c>
      <c r="B285" s="11">
        <f>(B34/E11-1)</f>
        <v>0</v>
      </c>
      <c r="C285" s="11">
        <f>(C34/F11-1)</f>
        <v>0</v>
      </c>
      <c r="D285" s="11">
        <f>(D34/G11-1)</f>
        <v>0</v>
      </c>
      <c r="E285" s="11">
        <f>(E34/H11-1)</f>
        <v>-1.8404907975460127E-2</v>
      </c>
      <c r="F285" s="11">
        <f>(F34/I11-1)</f>
        <v>0</v>
      </c>
      <c r="G285" s="11">
        <f>(G34/J11-1)</f>
        <v>0</v>
      </c>
    </row>
    <row r="286" spans="1:7">
      <c r="A286" s="6" t="s">
        <v>13</v>
      </c>
      <c r="B286" s="11">
        <f>(B35/E12-1)</f>
        <v>0</v>
      </c>
      <c r="C286" s="11">
        <f>(C35/F12-1)</f>
        <v>0</v>
      </c>
      <c r="D286" s="11">
        <f>(D35/G12-1)</f>
        <v>0</v>
      </c>
      <c r="E286" s="11">
        <f>(E35/H12-1)</f>
        <v>0</v>
      </c>
      <c r="F286" s="11">
        <f>(F35/I12-1)</f>
        <v>0</v>
      </c>
      <c r="G286" s="11">
        <f>(G35/J12-1)</f>
        <v>0</v>
      </c>
    </row>
    <row r="287" spans="1:7">
      <c r="A287" s="6" t="s">
        <v>14</v>
      </c>
      <c r="B287" s="11">
        <f>(B36/E13-1)</f>
        <v>8.0198893255278847E-5</v>
      </c>
      <c r="C287" s="11">
        <f>(C36/F13-1)</f>
        <v>-1.9723865877712132E-3</v>
      </c>
      <c r="D287" s="11">
        <f>(D36/G13-1)</f>
        <v>0</v>
      </c>
      <c r="E287" s="11">
        <f>(E36/H13-1)</f>
        <v>-4.6759562330578319E-5</v>
      </c>
      <c r="F287" s="11">
        <f>(F36/I13-1)</f>
        <v>0</v>
      </c>
      <c r="G287" s="11">
        <f>(G36/J13-1)</f>
        <v>-1.967535661583919E-3</v>
      </c>
    </row>
    <row r="288" spans="1:7">
      <c r="A288" s="6" t="s">
        <v>15</v>
      </c>
      <c r="B288" s="11">
        <f>(B37/E14-1)</f>
        <v>0</v>
      </c>
      <c r="C288" s="11">
        <f>(C37/F14-1)</f>
        <v>0</v>
      </c>
      <c r="D288" s="11">
        <f>(D37/G14-1)</f>
        <v>0</v>
      </c>
      <c r="E288" s="11">
        <f>(E37/H14-1)</f>
        <v>0</v>
      </c>
      <c r="F288" s="11">
        <f>(F37/I14-1)</f>
        <v>0</v>
      </c>
      <c r="G288" s="11">
        <f>(G37/J14-1)</f>
        <v>0</v>
      </c>
    </row>
    <row r="289" spans="1:15">
      <c r="A289" s="21" t="s">
        <v>16</v>
      </c>
      <c r="B289" s="11">
        <f>(B38/E15-1)</f>
        <v>0</v>
      </c>
      <c r="C289" s="11">
        <f>(C38/F15-1)</f>
        <v>0</v>
      </c>
      <c r="D289" s="11">
        <f>(D38/G15-1)</f>
        <v>0</v>
      </c>
      <c r="E289" s="11">
        <f>(E38/H15-1)</f>
        <v>0</v>
      </c>
      <c r="F289" s="11">
        <f>(F38/I15-1)</f>
        <v>0</v>
      </c>
      <c r="G289" s="11">
        <f>(G38/J15-1)</f>
        <v>-1.615508885298711E-4</v>
      </c>
    </row>
    <row r="290" spans="1:15">
      <c r="A290" s="6" t="s">
        <v>46</v>
      </c>
      <c r="B290" s="11">
        <f>(B39/E16-1)</f>
        <v>-9.2323925085724401E-4</v>
      </c>
      <c r="C290" s="11">
        <f>(C39/F16-1)</f>
        <v>0</v>
      </c>
      <c r="D290" s="11">
        <f>(D39/G16-1)</f>
        <v>0</v>
      </c>
      <c r="E290" s="11">
        <f>(E39/H16-1)</f>
        <v>-0.10621886549895554</v>
      </c>
      <c r="F290" s="11">
        <f>(F39/I16-1)</f>
        <v>0</v>
      </c>
      <c r="G290" s="11">
        <f>(G39/J16-1)</f>
        <v>0</v>
      </c>
    </row>
    <row r="291" spans="1:15">
      <c r="A291" s="6" t="s">
        <v>18</v>
      </c>
      <c r="B291" s="11">
        <f>(B40/E17-1)</f>
        <v>0</v>
      </c>
      <c r="C291" s="11">
        <f>(C40/F17-1)</f>
        <v>0</v>
      </c>
      <c r="D291" s="11">
        <f>(D40/G17-1)</f>
        <v>0</v>
      </c>
      <c r="E291" s="11">
        <f>(E40/H17-1)</f>
        <v>0</v>
      </c>
      <c r="F291" s="11">
        <f>(F40/I17-1)</f>
        <v>-1</v>
      </c>
      <c r="G291" s="11">
        <f>(G40/J17-1)</f>
        <v>4.6054980364155451E-2</v>
      </c>
    </row>
    <row r="292" spans="1:15">
      <c r="A292" s="6" t="s">
        <v>19</v>
      </c>
      <c r="B292" s="11">
        <f>(B41/E18-1)</f>
        <v>0</v>
      </c>
      <c r="C292" s="11">
        <f>(C41/F18-1)</f>
        <v>-0.6464458503907704</v>
      </c>
      <c r="D292" s="11">
        <f>(D41/G18-1)</f>
        <v>0</v>
      </c>
      <c r="E292" s="11">
        <f>(E41/H18-1)</f>
        <v>0</v>
      </c>
      <c r="F292" s="11">
        <f>(F41/I18-1)</f>
        <v>0</v>
      </c>
      <c r="G292" s="11">
        <f>(G41/J18-1)</f>
        <v>-0.64356435643564358</v>
      </c>
    </row>
    <row r="293" spans="1:15">
      <c r="A293" s="6" t="s">
        <v>20</v>
      </c>
      <c r="B293" s="11">
        <f>(B42/E19-1)</f>
        <v>-4.3710878763203453E-6</v>
      </c>
      <c r="C293" s="11">
        <f>(C42/F19-1)</f>
        <v>8.7778330456256271E-5</v>
      </c>
      <c r="D293" s="11">
        <f>(D42/G19-1)</f>
        <v>0</v>
      </c>
      <c r="E293" s="11">
        <f>(E42/H19-1)</f>
        <v>2.777588880453763E-5</v>
      </c>
      <c r="F293" s="11">
        <f>(F42/I19-1)</f>
        <v>0</v>
      </c>
      <c r="G293" s="11">
        <f>(G42/J19-1)</f>
        <v>0</v>
      </c>
    </row>
    <row r="294" spans="1:15">
      <c r="A294" s="6" t="s">
        <v>21</v>
      </c>
      <c r="B294" s="11">
        <f>(B43/E20-1)</f>
        <v>0</v>
      </c>
      <c r="C294" s="11">
        <f>(C43/F20-1)</f>
        <v>0.20788245429672347</v>
      </c>
      <c r="D294" s="11">
        <f>(D43/G20-1)</f>
        <v>0</v>
      </c>
      <c r="E294" s="11">
        <f>(E43/H20-1)</f>
        <v>-2.5200977797901203E-5</v>
      </c>
      <c r="F294" s="11">
        <f>(F43/I20-1)</f>
        <v>0</v>
      </c>
      <c r="G294" s="11">
        <f>(G43/J20-1)</f>
        <v>0.20848056537102488</v>
      </c>
    </row>
    <row r="295" spans="1:15">
      <c r="A295" s="6" t="s">
        <v>22</v>
      </c>
      <c r="B295" s="11">
        <f>(B44/E21-1)</f>
        <v>0</v>
      </c>
      <c r="C295" s="11">
        <f>(C44/F21-1)</f>
        <v>0</v>
      </c>
      <c r="D295" s="11">
        <f>(D44/G21-1)</f>
        <v>0</v>
      </c>
      <c r="E295" s="11">
        <f>(E44/H21-1)</f>
        <v>0</v>
      </c>
      <c r="F295" s="11">
        <f>(F44/I21-1)</f>
        <v>0</v>
      </c>
      <c r="G295" s="11">
        <f>(G44/J21-1)</f>
        <v>0</v>
      </c>
    </row>
    <row r="296" spans="1:15">
      <c r="A296" s="6" t="s">
        <v>47</v>
      </c>
      <c r="B296" s="11">
        <f>(B45/E22-1)</f>
        <v>1.7207961341636491E-5</v>
      </c>
      <c r="C296" s="11">
        <f>(C45/F22-1)</f>
        <v>1.6586498590154264E-4</v>
      </c>
      <c r="D296" s="11">
        <f>(D45/G22-1)</f>
        <v>0</v>
      </c>
      <c r="E296" s="11">
        <f>(E45/H22-1)</f>
        <v>8.7829727435151383E-5</v>
      </c>
      <c r="F296" s="11">
        <f>(F45/I22-1)</f>
        <v>0</v>
      </c>
      <c r="G296" s="11">
        <f>(G45/J22-1)</f>
        <v>-3.1813361611876534E-3</v>
      </c>
    </row>
    <row r="297" spans="1:15">
      <c r="A297" s="6" t="s">
        <v>60</v>
      </c>
      <c r="B297" s="11">
        <f>(B46/E23-1)</f>
        <v>3.3923210949472038E-2</v>
      </c>
      <c r="C297" s="11">
        <f>(C46/F23-1)</f>
        <v>0</v>
      </c>
      <c r="D297" s="11">
        <f>(D46/G23-1)</f>
        <v>0</v>
      </c>
      <c r="E297" s="11">
        <f>(E46/H23-1)</f>
        <v>0</v>
      </c>
      <c r="F297" s="11">
        <f>(F46/I23-1)</f>
        <v>0</v>
      </c>
      <c r="G297" s="11">
        <f>(G46/J23-1)</f>
        <v>-3.1250000000000111E-2</v>
      </c>
    </row>
    <row r="298" spans="1:15">
      <c r="A298" s="6" t="s">
        <v>26</v>
      </c>
      <c r="B298" s="11">
        <f>(B47/E24-1)</f>
        <v>-1.0747238993080721E-5</v>
      </c>
      <c r="C298" s="11">
        <f>(C47/F24-1)</f>
        <v>-2.455435587013036</v>
      </c>
      <c r="D298" s="11">
        <f>(D47/G24-1)</f>
        <v>-2</v>
      </c>
      <c r="E298" s="11">
        <f>(E47/H24-1)</f>
        <v>0.11475629351901451</v>
      </c>
      <c r="F298" s="11">
        <f>(F47/I24-1)</f>
        <v>0</v>
      </c>
      <c r="G298" s="11">
        <f>(G47/J24-1)</f>
        <v>-2.452599388379205</v>
      </c>
    </row>
    <row r="299" spans="1:15">
      <c r="A299" s="6" t="s">
        <v>49</v>
      </c>
      <c r="B299" s="11">
        <f>(B48/E25-1)</f>
        <v>0</v>
      </c>
      <c r="C299" s="11">
        <f>(C48/F25-1)</f>
        <v>0</v>
      </c>
      <c r="D299" s="11">
        <f>(D48/G25-1)</f>
        <v>3.1102096010818148E-2</v>
      </c>
      <c r="E299" s="11">
        <f>(E48/H25-1)</f>
        <v>-8.8757396449704595E-3</v>
      </c>
      <c r="F299" s="11">
        <f>(F48/I25-1)</f>
        <v>0</v>
      </c>
      <c r="G299" s="11">
        <f>(G48/J25-1)</f>
        <v>0</v>
      </c>
    </row>
    <row r="300" spans="1:15">
      <c r="A300" s="26" t="str">
        <f>A54</f>
        <v>ASTAZENECA</v>
      </c>
      <c r="B300" s="14">
        <f>C280</f>
        <v>0</v>
      </c>
    </row>
    <row r="301" spans="1:15">
      <c r="A301" t="str">
        <f t="shared" ref="A301:A319" si="2">A281</f>
        <v>BRISTOL MYERS SQUIBB</v>
      </c>
      <c r="B301" s="4">
        <f t="shared" ref="B301:B319" si="3">C281</f>
        <v>-1</v>
      </c>
    </row>
    <row r="302" spans="1:15">
      <c r="A302" t="str">
        <f t="shared" si="2"/>
        <v>HOFFMANN-LA ROCHE</v>
      </c>
      <c r="B302" s="4">
        <f t="shared" si="3"/>
        <v>0</v>
      </c>
      <c r="N302" s="4"/>
    </row>
    <row r="303" spans="1:15">
      <c r="A303" t="str">
        <f t="shared" si="2"/>
        <v>PFIZER</v>
      </c>
      <c r="B303" s="4">
        <f t="shared" si="3"/>
        <v>0</v>
      </c>
    </row>
    <row r="304" spans="1:15" ht="43.5">
      <c r="A304" t="str">
        <f>A284</f>
        <v xml:space="preserve">TAKEDA PHARMS </v>
      </c>
      <c r="B304" s="4">
        <f t="shared" si="3"/>
        <v>0</v>
      </c>
      <c r="H304" s="36" t="s">
        <v>61</v>
      </c>
      <c r="I304" s="8" t="s">
        <v>51</v>
      </c>
      <c r="J304" s="7" t="s">
        <v>52</v>
      </c>
      <c r="K304" s="7" t="s">
        <v>36</v>
      </c>
      <c r="L304" s="7" t="s">
        <v>37</v>
      </c>
      <c r="M304" s="7" t="s">
        <v>38</v>
      </c>
      <c r="N304" s="7" t="s">
        <v>5</v>
      </c>
      <c r="O304" s="7" t="s">
        <v>39</v>
      </c>
    </row>
    <row r="305" spans="1:15">
      <c r="A305" t="str">
        <f t="shared" si="2"/>
        <v>EMD SERONO INC</v>
      </c>
      <c r="B305" s="4">
        <f t="shared" si="3"/>
        <v>0</v>
      </c>
      <c r="H305" s="37" t="s">
        <v>53</v>
      </c>
      <c r="I305" s="4">
        <f>AVERAGE(B280:B399)</f>
        <v>-0.10597832921222591</v>
      </c>
      <c r="J305" s="9">
        <f>AVERAGE(B280:B299)</f>
        <v>1.6474472334208345E-3</v>
      </c>
      <c r="K305" s="9">
        <f t="shared" ref="K305:O305" si="4">AVERAGE(C280:C299)</f>
        <v>-0.19478588631892482</v>
      </c>
      <c r="L305" s="9">
        <f t="shared" si="4"/>
        <v>-9.8444895199459093E-2</v>
      </c>
      <c r="M305" s="9">
        <f t="shared" si="4"/>
        <v>-4.7521042950138065E-2</v>
      </c>
      <c r="N305" s="9">
        <f t="shared" si="4"/>
        <v>-0.10284090909090908</v>
      </c>
      <c r="O305" s="9">
        <f t="shared" si="4"/>
        <v>-0.19392468894734527</v>
      </c>
    </row>
    <row r="306" spans="1:15">
      <c r="A306" t="str">
        <f t="shared" si="2"/>
        <v>NOVARTIS PHARM</v>
      </c>
      <c r="B306" s="4">
        <f t="shared" si="3"/>
        <v>0</v>
      </c>
      <c r="H306" s="37" t="s">
        <v>54</v>
      </c>
      <c r="I306" s="4">
        <f>MEDIAN(B280:B399)</f>
        <v>0</v>
      </c>
      <c r="J306" s="4">
        <f>MEDIAN(B280:B299)</f>
        <v>0</v>
      </c>
      <c r="K306" s="4">
        <f t="shared" ref="K306:O306" si="5">MEDIAN(C280:C299)</f>
        <v>0</v>
      </c>
      <c r="L306" s="4">
        <f t="shared" si="5"/>
        <v>0</v>
      </c>
      <c r="M306" s="4">
        <f t="shared" si="5"/>
        <v>0</v>
      </c>
      <c r="N306" s="4">
        <f t="shared" si="5"/>
        <v>0</v>
      </c>
      <c r="O306" s="4">
        <f t="shared" si="5"/>
        <v>0</v>
      </c>
    </row>
    <row r="307" spans="1:15">
      <c r="A307" t="str">
        <f t="shared" si="2"/>
        <v>BLUEPRINT MEDICINES</v>
      </c>
      <c r="B307" s="4">
        <f t="shared" si="3"/>
        <v>-1.9723865877712132E-3</v>
      </c>
      <c r="H307" s="15" t="s">
        <v>55</v>
      </c>
      <c r="I307" s="10">
        <f>_xlfn.STDEV.S(B280:B399)</f>
        <v>0.41660255310865979</v>
      </c>
      <c r="J307" s="10">
        <f>STDEV(B280:B299)</f>
        <v>7.5997908548872751E-3</v>
      </c>
      <c r="K307" s="10">
        <f>STDEV(C280:C299)</f>
        <v>0.59521974578195758</v>
      </c>
      <c r="L307" s="10">
        <f>STDEV(D280:D299)</f>
        <v>0.44763350802094526</v>
      </c>
      <c r="M307" s="10">
        <f>STDEV(E280:E299)</f>
        <v>0.22761362870537996</v>
      </c>
      <c r="N307" s="10">
        <f>STDEV(F280:F299)</f>
        <v>0.30708332952167466</v>
      </c>
      <c r="O307" s="10">
        <f>STDEV(G280:G299)</f>
        <v>0.59488428871573418</v>
      </c>
    </row>
    <row r="308" spans="1:15">
      <c r="A308" t="str">
        <f t="shared" si="2"/>
        <v>ELI LILLY AND COMPANY</v>
      </c>
      <c r="B308" s="4">
        <f t="shared" si="3"/>
        <v>0</v>
      </c>
    </row>
    <row r="309" spans="1:15">
      <c r="A309" t="str">
        <f t="shared" si="2"/>
        <v>MODERNA INC</v>
      </c>
      <c r="B309" s="4">
        <f t="shared" si="3"/>
        <v>0</v>
      </c>
    </row>
    <row r="310" spans="1:15">
      <c r="A310" t="str">
        <f t="shared" si="2"/>
        <v>GSK</v>
      </c>
      <c r="B310" s="4">
        <f t="shared" si="3"/>
        <v>0</v>
      </c>
    </row>
    <row r="311" spans="1:15">
      <c r="A311" t="str">
        <f t="shared" si="2"/>
        <v>AMGEN</v>
      </c>
      <c r="B311" s="4">
        <f t="shared" si="3"/>
        <v>0</v>
      </c>
    </row>
    <row r="312" spans="1:15">
      <c r="A312" t="str">
        <f t="shared" si="2"/>
        <v>MILLENNIUM</v>
      </c>
      <c r="B312" s="4">
        <f t="shared" si="3"/>
        <v>-0.6464458503907704</v>
      </c>
    </row>
    <row r="313" spans="1:15">
      <c r="A313" t="str">
        <f t="shared" si="2"/>
        <v>EXELIXIS INC</v>
      </c>
      <c r="B313" s="4">
        <f t="shared" si="3"/>
        <v>8.7778330456256271E-5</v>
      </c>
    </row>
    <row r="314" spans="1:15">
      <c r="A314" t="str">
        <f t="shared" si="2"/>
        <v>ONYX HEALTHCARE</v>
      </c>
      <c r="B314" s="4">
        <f t="shared" si="3"/>
        <v>0.20788245429672347</v>
      </c>
    </row>
    <row r="315" spans="1:15">
      <c r="A315" t="str">
        <f t="shared" si="2"/>
        <v>REGENERON PHARMAS</v>
      </c>
      <c r="B315" s="4">
        <f t="shared" si="3"/>
        <v>0</v>
      </c>
    </row>
    <row r="316" spans="1:15">
      <c r="A316" t="str">
        <f t="shared" si="2"/>
        <v>DAIICHI SANKYO</v>
      </c>
      <c r="B316" s="4">
        <f t="shared" si="3"/>
        <v>1.6586498590154264E-4</v>
      </c>
    </row>
    <row r="317" spans="1:15">
      <c r="A317" t="str">
        <f t="shared" si="2"/>
        <v xml:space="preserve">BAYER </v>
      </c>
      <c r="B317" s="4">
        <f t="shared" si="3"/>
        <v>0</v>
      </c>
    </row>
    <row r="318" spans="1:15">
      <c r="A318" t="str">
        <f t="shared" si="2"/>
        <v>BIOMARIN</v>
      </c>
      <c r="B318" s="4">
        <f t="shared" si="3"/>
        <v>-2.455435587013036</v>
      </c>
    </row>
    <row r="319" spans="1:15">
      <c r="A319" t="str">
        <f t="shared" si="2"/>
        <v>EISAI</v>
      </c>
      <c r="B319" s="4">
        <f t="shared" si="3"/>
        <v>0</v>
      </c>
    </row>
    <row r="320" spans="1:15">
      <c r="A320" s="6" t="str">
        <f>A280</f>
        <v>ASTAZENECA</v>
      </c>
      <c r="B320" s="11">
        <f>D280</f>
        <v>0</v>
      </c>
    </row>
    <row r="321" spans="1:2">
      <c r="A321" t="str">
        <f t="shared" ref="A321:A339" si="6">A281</f>
        <v>BRISTOL MYERS SQUIBB</v>
      </c>
      <c r="B321" s="4">
        <f t="shared" ref="B321:B339" si="7">D281</f>
        <v>0</v>
      </c>
    </row>
    <row r="322" spans="1:2">
      <c r="A322" t="str">
        <f t="shared" si="6"/>
        <v>HOFFMANN-LA ROCHE</v>
      </c>
      <c r="B322" s="4">
        <f t="shared" si="7"/>
        <v>0</v>
      </c>
    </row>
    <row r="323" spans="1:2">
      <c r="A323" t="str">
        <f t="shared" si="6"/>
        <v>PFIZER</v>
      </c>
      <c r="B323" s="4">
        <f t="shared" si="7"/>
        <v>0</v>
      </c>
    </row>
    <row r="324" spans="1:2">
      <c r="A324" t="str">
        <f t="shared" si="6"/>
        <v xml:space="preserve">TAKEDA PHARMS </v>
      </c>
      <c r="B324" s="4">
        <f t="shared" si="7"/>
        <v>0</v>
      </c>
    </row>
    <row r="325" spans="1:2">
      <c r="A325" t="str">
        <f t="shared" si="6"/>
        <v>EMD SERONO INC</v>
      </c>
      <c r="B325" s="4">
        <f t="shared" si="7"/>
        <v>0</v>
      </c>
    </row>
    <row r="326" spans="1:2">
      <c r="A326" t="str">
        <f t="shared" si="6"/>
        <v>NOVARTIS PHARM</v>
      </c>
      <c r="B326" s="4">
        <f t="shared" si="7"/>
        <v>0</v>
      </c>
    </row>
    <row r="327" spans="1:2">
      <c r="A327" t="str">
        <f t="shared" si="6"/>
        <v>BLUEPRINT MEDICINES</v>
      </c>
      <c r="B327" s="4">
        <f t="shared" si="7"/>
        <v>0</v>
      </c>
    </row>
    <row r="328" spans="1:2">
      <c r="A328" t="str">
        <f t="shared" si="6"/>
        <v>ELI LILLY AND COMPANY</v>
      </c>
      <c r="B328" s="4">
        <f t="shared" si="7"/>
        <v>0</v>
      </c>
    </row>
    <row r="329" spans="1:2">
      <c r="A329" t="str">
        <f t="shared" si="6"/>
        <v>MODERNA INC</v>
      </c>
      <c r="B329" s="4">
        <f t="shared" si="7"/>
        <v>0</v>
      </c>
    </row>
    <row r="330" spans="1:2">
      <c r="A330" t="str">
        <f t="shared" si="6"/>
        <v>GSK</v>
      </c>
      <c r="B330" s="4">
        <f t="shared" si="7"/>
        <v>0</v>
      </c>
    </row>
    <row r="331" spans="1:2">
      <c r="A331" t="str">
        <f t="shared" si="6"/>
        <v>AMGEN</v>
      </c>
      <c r="B331" s="4">
        <f t="shared" si="7"/>
        <v>0</v>
      </c>
    </row>
    <row r="332" spans="1:2">
      <c r="A332" t="str">
        <f t="shared" si="6"/>
        <v>MILLENNIUM</v>
      </c>
      <c r="B332" s="4">
        <f t="shared" si="7"/>
        <v>0</v>
      </c>
    </row>
    <row r="333" spans="1:2">
      <c r="A333" t="str">
        <f t="shared" si="6"/>
        <v>EXELIXIS INC</v>
      </c>
      <c r="B333" s="4">
        <f t="shared" si="7"/>
        <v>0</v>
      </c>
    </row>
    <row r="334" spans="1:2">
      <c r="A334" t="str">
        <f t="shared" si="6"/>
        <v>ONYX HEALTHCARE</v>
      </c>
      <c r="B334" s="4">
        <f t="shared" si="7"/>
        <v>0</v>
      </c>
    </row>
    <row r="335" spans="1:2">
      <c r="A335" t="str">
        <f t="shared" si="6"/>
        <v>REGENERON PHARMAS</v>
      </c>
      <c r="B335" s="4">
        <f t="shared" si="7"/>
        <v>0</v>
      </c>
    </row>
    <row r="336" spans="1:2">
      <c r="A336" t="str">
        <f t="shared" si="6"/>
        <v>DAIICHI SANKYO</v>
      </c>
      <c r="B336" s="4">
        <f t="shared" si="7"/>
        <v>0</v>
      </c>
    </row>
    <row r="337" spans="1:2">
      <c r="A337" t="str">
        <f t="shared" si="6"/>
        <v xml:space="preserve">BAYER </v>
      </c>
      <c r="B337" s="4">
        <f t="shared" si="7"/>
        <v>0</v>
      </c>
    </row>
    <row r="338" spans="1:2">
      <c r="A338" t="str">
        <f t="shared" si="6"/>
        <v>BIOMARIN</v>
      </c>
      <c r="B338" s="4">
        <f t="shared" si="7"/>
        <v>-2</v>
      </c>
    </row>
    <row r="339" spans="1:2">
      <c r="A339" t="str">
        <f t="shared" si="6"/>
        <v>EISAI</v>
      </c>
      <c r="B339" s="4">
        <f t="shared" si="7"/>
        <v>3.1102096010818148E-2</v>
      </c>
    </row>
    <row r="340" spans="1:2">
      <c r="A340" s="6" t="str">
        <f>A280</f>
        <v>ASTAZENECA</v>
      </c>
      <c r="B340" s="11">
        <f>E280</f>
        <v>0</v>
      </c>
    </row>
    <row r="341" spans="1:2">
      <c r="A341" t="str">
        <f>A281</f>
        <v>BRISTOL MYERS SQUIBB</v>
      </c>
      <c r="B341" s="4">
        <f>E281</f>
        <v>1.0753844499400422E-4</v>
      </c>
    </row>
    <row r="342" spans="1:2">
      <c r="A342" t="str">
        <f>A282</f>
        <v>HOFFMANN-LA ROCHE</v>
      </c>
      <c r="B342" s="4">
        <f>E282</f>
        <v>0</v>
      </c>
    </row>
    <row r="343" spans="1:2">
      <c r="A343" t="str">
        <f>A283</f>
        <v>PFIZER</v>
      </c>
      <c r="B343" s="4">
        <f>E283</f>
        <v>6.8171177076505218E-2</v>
      </c>
    </row>
    <row r="344" spans="1:2">
      <c r="A344" t="str">
        <f>A284</f>
        <v xml:space="preserve">TAKEDA PHARMS </v>
      </c>
      <c r="B344" s="4">
        <f>E284</f>
        <v>-1</v>
      </c>
    </row>
    <row r="345" spans="1:2">
      <c r="A345" t="str">
        <f>A285</f>
        <v>EMD SERONO INC</v>
      </c>
      <c r="B345" s="4">
        <f>E285</f>
        <v>-1.8404907975460127E-2</v>
      </c>
    </row>
    <row r="346" spans="1:2">
      <c r="A346" t="str">
        <f>A286</f>
        <v>NOVARTIS PHARM</v>
      </c>
      <c r="B346" s="4">
        <f>E286</f>
        <v>0</v>
      </c>
    </row>
    <row r="347" spans="1:2">
      <c r="A347" t="str">
        <f>A287</f>
        <v>BLUEPRINT MEDICINES</v>
      </c>
      <c r="B347" s="4">
        <f>E287</f>
        <v>-4.6759562330578319E-5</v>
      </c>
    </row>
    <row r="348" spans="1:2">
      <c r="A348" t="str">
        <f>A288</f>
        <v>ELI LILLY AND COMPANY</v>
      </c>
      <c r="B348" s="4">
        <f>E288</f>
        <v>0</v>
      </c>
    </row>
    <row r="349" spans="1:2">
      <c r="A349" t="str">
        <f>A289</f>
        <v>MODERNA INC</v>
      </c>
      <c r="B349" s="4">
        <f>E289</f>
        <v>0</v>
      </c>
    </row>
    <row r="350" spans="1:2">
      <c r="A350" t="str">
        <f>A290</f>
        <v>GSK</v>
      </c>
      <c r="B350" s="4">
        <f>E290</f>
        <v>-0.10621886549895554</v>
      </c>
    </row>
    <row r="351" spans="1:2">
      <c r="A351" t="str">
        <f>A291</f>
        <v>AMGEN</v>
      </c>
      <c r="B351" s="4">
        <f>E291</f>
        <v>0</v>
      </c>
    </row>
    <row r="352" spans="1:2">
      <c r="A352" t="str">
        <f>A292</f>
        <v>MILLENNIUM</v>
      </c>
      <c r="B352" s="4">
        <f>E292</f>
        <v>0</v>
      </c>
    </row>
    <row r="353" spans="1:2">
      <c r="A353" t="str">
        <f>A293</f>
        <v>EXELIXIS INC</v>
      </c>
      <c r="B353" s="4">
        <f>E293</f>
        <v>2.777588880453763E-5</v>
      </c>
    </row>
    <row r="354" spans="1:2">
      <c r="A354" t="str">
        <f>A294</f>
        <v>ONYX HEALTHCARE</v>
      </c>
      <c r="B354" s="4">
        <f>E294</f>
        <v>-2.5200977797901203E-5</v>
      </c>
    </row>
    <row r="355" spans="1:2">
      <c r="A355" t="str">
        <f>A295</f>
        <v>REGENERON PHARMAS</v>
      </c>
      <c r="B355" s="4">
        <f>E295</f>
        <v>0</v>
      </c>
    </row>
    <row r="356" spans="1:2">
      <c r="A356" t="str">
        <f>A296</f>
        <v>DAIICHI SANKYO</v>
      </c>
      <c r="B356" s="4">
        <f>E296</f>
        <v>8.7829727435151383E-5</v>
      </c>
    </row>
    <row r="357" spans="1:2">
      <c r="A357" t="str">
        <f>A297</f>
        <v xml:space="preserve">BAYER </v>
      </c>
      <c r="B357" s="4">
        <f>E297</f>
        <v>0</v>
      </c>
    </row>
    <row r="358" spans="1:2">
      <c r="A358" t="str">
        <f>A298</f>
        <v>BIOMARIN</v>
      </c>
      <c r="B358" s="4">
        <f>E298</f>
        <v>0.11475629351901451</v>
      </c>
    </row>
    <row r="359" spans="1:2">
      <c r="A359" t="str">
        <f>A299</f>
        <v>EISAI</v>
      </c>
      <c r="B359" s="4">
        <f>E299</f>
        <v>-8.8757396449704595E-3</v>
      </c>
    </row>
    <row r="360" spans="1:2">
      <c r="A360" s="6" t="str">
        <f>A280</f>
        <v>ASTAZENECA</v>
      </c>
      <c r="B360" s="11">
        <f>F280</f>
        <v>0</v>
      </c>
    </row>
    <row r="361" spans="1:2">
      <c r="A361" t="str">
        <f>A281</f>
        <v>BRISTOL MYERS SQUIBB</v>
      </c>
      <c r="B361" s="4">
        <f>F281</f>
        <v>0</v>
      </c>
    </row>
    <row r="362" spans="1:2">
      <c r="A362" t="str">
        <f>A282</f>
        <v>HOFFMANN-LA ROCHE</v>
      </c>
      <c r="B362" s="4">
        <f>F282</f>
        <v>0</v>
      </c>
    </row>
    <row r="363" spans="1:2">
      <c r="A363" t="str">
        <f>A283</f>
        <v>PFIZER</v>
      </c>
      <c r="B363" s="4">
        <f>F283</f>
        <v>-5.6818181818181768E-2</v>
      </c>
    </row>
    <row r="364" spans="1:2">
      <c r="A364" t="str">
        <f>A284</f>
        <v xml:space="preserve">TAKEDA PHARMS </v>
      </c>
      <c r="B364" s="4">
        <f>F284</f>
        <v>-1</v>
      </c>
    </row>
    <row r="365" spans="1:2">
      <c r="A365" t="str">
        <f>A285</f>
        <v>EMD SERONO INC</v>
      </c>
      <c r="B365" s="4">
        <f>F285</f>
        <v>0</v>
      </c>
    </row>
    <row r="366" spans="1:2">
      <c r="A366" t="str">
        <f>A286</f>
        <v>NOVARTIS PHARM</v>
      </c>
      <c r="B366" s="4">
        <f>F286</f>
        <v>0</v>
      </c>
    </row>
    <row r="367" spans="1:2">
      <c r="A367" t="str">
        <f>A287</f>
        <v>BLUEPRINT MEDICINES</v>
      </c>
      <c r="B367" s="4">
        <f>F287</f>
        <v>0</v>
      </c>
    </row>
    <row r="368" spans="1:2">
      <c r="A368" t="str">
        <f>A288</f>
        <v>ELI LILLY AND COMPANY</v>
      </c>
      <c r="B368" s="4">
        <f>F288</f>
        <v>0</v>
      </c>
    </row>
    <row r="369" spans="1:2">
      <c r="A369" t="str">
        <f>A289</f>
        <v>MODERNA INC</v>
      </c>
      <c r="B369" s="4">
        <f>F289</f>
        <v>0</v>
      </c>
    </row>
    <row r="370" spans="1:2">
      <c r="A370" t="str">
        <f>A290</f>
        <v>GSK</v>
      </c>
      <c r="B370" s="4">
        <f>F290</f>
        <v>0</v>
      </c>
    </row>
    <row r="371" spans="1:2">
      <c r="A371" t="str">
        <f>A291</f>
        <v>AMGEN</v>
      </c>
      <c r="B371" s="4">
        <f>F291</f>
        <v>-1</v>
      </c>
    </row>
    <row r="372" spans="1:2">
      <c r="A372" t="str">
        <f>A292</f>
        <v>MILLENNIUM</v>
      </c>
      <c r="B372" s="4">
        <f>F292</f>
        <v>0</v>
      </c>
    </row>
    <row r="373" spans="1:2">
      <c r="A373" t="str">
        <f>A293</f>
        <v>EXELIXIS INC</v>
      </c>
      <c r="B373" s="4">
        <f>F293</f>
        <v>0</v>
      </c>
    </row>
    <row r="374" spans="1:2">
      <c r="A374" t="str">
        <f>A294</f>
        <v>ONYX HEALTHCARE</v>
      </c>
      <c r="B374" s="4">
        <f>F294</f>
        <v>0</v>
      </c>
    </row>
    <row r="375" spans="1:2">
      <c r="A375" t="str">
        <f>A295</f>
        <v>REGENERON PHARMAS</v>
      </c>
      <c r="B375" s="4">
        <f>F295</f>
        <v>0</v>
      </c>
    </row>
    <row r="376" spans="1:2">
      <c r="A376" t="str">
        <f>A296</f>
        <v>DAIICHI SANKYO</v>
      </c>
      <c r="B376" s="4">
        <f>F296</f>
        <v>0</v>
      </c>
    </row>
    <row r="377" spans="1:2">
      <c r="A377" t="str">
        <f>A297</f>
        <v xml:space="preserve">BAYER </v>
      </c>
      <c r="B377" s="4">
        <f>F297</f>
        <v>0</v>
      </c>
    </row>
    <row r="378" spans="1:2">
      <c r="A378" t="str">
        <f>A298</f>
        <v>BIOMARIN</v>
      </c>
      <c r="B378" s="4">
        <f>F298</f>
        <v>0</v>
      </c>
    </row>
    <row r="379" spans="1:2">
      <c r="A379" t="str">
        <f>A299</f>
        <v>EISAI</v>
      </c>
      <c r="B379" s="4">
        <f>F299</f>
        <v>0</v>
      </c>
    </row>
    <row r="380" spans="1:2">
      <c r="A380" s="6" t="str">
        <f>A280</f>
        <v>ASTAZENECA</v>
      </c>
      <c r="B380" s="11">
        <f>G280</f>
        <v>0</v>
      </c>
    </row>
    <row r="381" spans="1:2">
      <c r="A381" t="str">
        <f>A281</f>
        <v>BRISTOL MYERS SQUIBB</v>
      </c>
      <c r="B381" s="4">
        <f>G281</f>
        <v>-1</v>
      </c>
    </row>
    <row r="382" spans="1:2">
      <c r="A382" t="str">
        <f>A282</f>
        <v>HOFFMANN-LA ROCHE</v>
      </c>
      <c r="B382" s="4">
        <f>G282</f>
        <v>-3.0515715593526505E-4</v>
      </c>
    </row>
    <row r="383" spans="1:2">
      <c r="A383" t="str">
        <f>A283</f>
        <v>PFIZER</v>
      </c>
      <c r="B383" s="4">
        <f>G283</f>
        <v>0</v>
      </c>
    </row>
    <row r="384" spans="1:2">
      <c r="A384" t="str">
        <f>A284</f>
        <v xml:space="preserve">TAKEDA PHARMS </v>
      </c>
      <c r="B384" s="4">
        <f>G284</f>
        <v>0</v>
      </c>
    </row>
    <row r="385" spans="1:2">
      <c r="A385" t="str">
        <f>A285</f>
        <v>EMD SERONO INC</v>
      </c>
      <c r="B385" s="4">
        <f>G285</f>
        <v>0</v>
      </c>
    </row>
    <row r="386" spans="1:2">
      <c r="A386" t="str">
        <f>A286</f>
        <v>NOVARTIS PHARM</v>
      </c>
      <c r="B386" s="4">
        <f>G286</f>
        <v>0</v>
      </c>
    </row>
    <row r="387" spans="1:2">
      <c r="A387" t="str">
        <f>A287</f>
        <v>BLUEPRINT MEDICINES</v>
      </c>
      <c r="B387" s="4">
        <f>G287</f>
        <v>-1.967535661583919E-3</v>
      </c>
    </row>
    <row r="388" spans="1:2">
      <c r="A388" t="str">
        <f>A288</f>
        <v>ELI LILLY AND COMPANY</v>
      </c>
      <c r="B388" s="4">
        <f>G288</f>
        <v>0</v>
      </c>
    </row>
    <row r="389" spans="1:2">
      <c r="A389" t="str">
        <f>A289</f>
        <v>MODERNA INC</v>
      </c>
      <c r="B389" s="4">
        <f>G289</f>
        <v>-1.615508885298711E-4</v>
      </c>
    </row>
    <row r="390" spans="1:2">
      <c r="A390" t="str">
        <f>A290</f>
        <v>GSK</v>
      </c>
      <c r="B390" s="4">
        <f>G290</f>
        <v>0</v>
      </c>
    </row>
    <row r="391" spans="1:2">
      <c r="A391" t="str">
        <f>A291</f>
        <v>AMGEN</v>
      </c>
      <c r="B391" s="4">
        <f>G291</f>
        <v>4.6054980364155451E-2</v>
      </c>
    </row>
    <row r="392" spans="1:2">
      <c r="A392" t="str">
        <f>A292</f>
        <v>MILLENNIUM</v>
      </c>
      <c r="B392" s="4">
        <f>G292</f>
        <v>-0.64356435643564358</v>
      </c>
    </row>
    <row r="393" spans="1:2">
      <c r="A393" t="str">
        <f>A293</f>
        <v>EXELIXIS INC</v>
      </c>
      <c r="B393" s="4">
        <f>G293</f>
        <v>0</v>
      </c>
    </row>
    <row r="394" spans="1:2">
      <c r="A394" t="str">
        <f>A294</f>
        <v>ONYX HEALTHCARE</v>
      </c>
      <c r="B394" s="4">
        <f>G294</f>
        <v>0.20848056537102488</v>
      </c>
    </row>
    <row r="395" spans="1:2">
      <c r="A395" t="str">
        <f>A295</f>
        <v>REGENERON PHARMAS</v>
      </c>
      <c r="B395" s="4">
        <f>G295</f>
        <v>0</v>
      </c>
    </row>
    <row r="396" spans="1:2">
      <c r="A396" t="str">
        <f>A296</f>
        <v>DAIICHI SANKYO</v>
      </c>
      <c r="B396" s="4">
        <f>G296</f>
        <v>-3.1813361611876534E-3</v>
      </c>
    </row>
    <row r="397" spans="1:2">
      <c r="A397" t="str">
        <f>A297</f>
        <v xml:space="preserve">BAYER </v>
      </c>
      <c r="B397" s="4">
        <f>G297</f>
        <v>-3.1250000000000111E-2</v>
      </c>
    </row>
    <row r="398" spans="1:2">
      <c r="A398" t="str">
        <f>A298</f>
        <v>BIOMARIN</v>
      </c>
      <c r="B398" s="4">
        <f>G298</f>
        <v>-2.452599388379205</v>
      </c>
    </row>
    <row r="399" spans="1:2">
      <c r="A399" t="str">
        <f>A299</f>
        <v>EISAI</v>
      </c>
      <c r="B399" s="4">
        <f>G299</f>
        <v>0</v>
      </c>
    </row>
    <row r="402" spans="1:2">
      <c r="A402" s="39" t="s">
        <v>62</v>
      </c>
      <c r="B402" s="6"/>
    </row>
    <row r="403" spans="1:2">
      <c r="A403" s="6"/>
      <c r="B403" s="6"/>
    </row>
    <row r="404" spans="1:2">
      <c r="A404" s="6">
        <v>0</v>
      </c>
      <c r="B404" s="11">
        <f>MIN($B$280:$B$399)</f>
        <v>-2.455435587013036</v>
      </c>
    </row>
    <row r="405" spans="1:2">
      <c r="A405" s="6">
        <v>1</v>
      </c>
      <c r="B405" s="11">
        <f>_xlfn.PERCENTILE.INC($B$280:$B$399,A405/100)</f>
        <v>-2.3666055045871559</v>
      </c>
    </row>
    <row r="406" spans="1:2">
      <c r="A406" s="6">
        <f>A405+1</f>
        <v>2</v>
      </c>
      <c r="B406" s="11">
        <f t="shared" ref="B406:B454" si="8">_xlfn.PERCENTILE.INC($B$280:$B$399,A406/100)</f>
        <v>-1.62</v>
      </c>
    </row>
    <row r="407" spans="1:2">
      <c r="A407" s="6">
        <f t="shared" ref="A407:A454" si="9">A406+1</f>
        <v>3</v>
      </c>
      <c r="B407" s="11">
        <f t="shared" si="8"/>
        <v>-1</v>
      </c>
    </row>
    <row r="408" spans="1:2">
      <c r="A408" s="6">
        <f t="shared" si="9"/>
        <v>4</v>
      </c>
      <c r="B408" s="11">
        <f t="shared" si="8"/>
        <v>-1</v>
      </c>
    </row>
    <row r="409" spans="1:2">
      <c r="A409" s="6">
        <f t="shared" si="9"/>
        <v>5</v>
      </c>
      <c r="B409" s="11">
        <f t="shared" si="8"/>
        <v>-1</v>
      </c>
    </row>
    <row r="410" spans="1:2">
      <c r="A410" s="6">
        <f t="shared" si="9"/>
        <v>6</v>
      </c>
      <c r="B410" s="11">
        <f t="shared" si="8"/>
        <v>-0.95050241905470767</v>
      </c>
    </row>
    <row r="411" spans="1:2">
      <c r="A411" s="6">
        <f t="shared" si="9"/>
        <v>7</v>
      </c>
      <c r="B411" s="11">
        <f t="shared" si="8"/>
        <v>-0.6454949573855786</v>
      </c>
    </row>
    <row r="412" spans="1:2">
      <c r="A412" s="6">
        <f t="shared" si="9"/>
        <v>8</v>
      </c>
      <c r="B412" s="11">
        <f t="shared" si="8"/>
        <v>-0.36414470114856601</v>
      </c>
    </row>
    <row r="413" spans="1:2">
      <c r="A413" s="6">
        <f t="shared" si="9"/>
        <v>9</v>
      </c>
      <c r="B413" s="11">
        <f t="shared" si="8"/>
        <v>-7.114438008560621E-2</v>
      </c>
    </row>
    <row r="414" spans="1:2">
      <c r="A414" s="6">
        <f t="shared" si="9"/>
        <v>10</v>
      </c>
      <c r="B414" s="11">
        <f t="shared" si="8"/>
        <v>-3.3806818181818271E-2</v>
      </c>
    </row>
    <row r="415" spans="1:2">
      <c r="A415" s="6">
        <f t="shared" si="9"/>
        <v>11</v>
      </c>
      <c r="B415" s="11">
        <f t="shared" si="8"/>
        <v>-1.7547282825716059E-2</v>
      </c>
    </row>
    <row r="416" spans="1:2">
      <c r="A416" s="6">
        <f t="shared" si="9"/>
        <v>12</v>
      </c>
      <c r="B416" s="11">
        <f t="shared" si="8"/>
        <v>-7.2813066695112776E-3</v>
      </c>
    </row>
    <row r="417" spans="1:2">
      <c r="A417" s="6">
        <f t="shared" si="9"/>
        <v>13</v>
      </c>
      <c r="B417" s="11">
        <f t="shared" si="8"/>
        <v>-2.6131298616819277E-3</v>
      </c>
    </row>
    <row r="418" spans="1:2">
      <c r="A418" s="6">
        <f t="shared" si="9"/>
        <v>14</v>
      </c>
      <c r="B418" s="11">
        <f t="shared" si="8"/>
        <v>-1.9691849764875992E-3</v>
      </c>
    </row>
    <row r="419" spans="1:2">
      <c r="A419" s="6">
        <f t="shared" si="9"/>
        <v>15</v>
      </c>
      <c r="B419" s="11">
        <f t="shared" si="8"/>
        <v>-1.0798837124662475E-3</v>
      </c>
    </row>
    <row r="420" spans="1:2">
      <c r="A420" s="6">
        <f t="shared" si="9"/>
        <v>16</v>
      </c>
      <c r="B420" s="11">
        <f t="shared" si="8"/>
        <v>-2.994129052390494E-4</v>
      </c>
    </row>
    <row r="421" spans="1:2">
      <c r="A421" s="6">
        <f t="shared" si="9"/>
        <v>17</v>
      </c>
      <c r="B421" s="11">
        <f t="shared" si="8"/>
        <v>-1.5505676249089271E-4</v>
      </c>
    </row>
    <row r="422" spans="1:2">
      <c r="A422" s="6">
        <f t="shared" si="9"/>
        <v>18</v>
      </c>
      <c r="B422" s="11">
        <f t="shared" si="8"/>
        <v>-9.6962039775701109E-5</v>
      </c>
    </row>
    <row r="423" spans="1:2">
      <c r="A423" s="6">
        <f t="shared" si="9"/>
        <v>19</v>
      </c>
      <c r="B423" s="11">
        <f t="shared" si="8"/>
        <v>-3.3608825765645289E-5</v>
      </c>
    </row>
    <row r="424" spans="1:2">
      <c r="A424" s="6">
        <f t="shared" si="9"/>
        <v>20</v>
      </c>
      <c r="B424" s="11">
        <f t="shared" si="8"/>
        <v>-1.3637986754044807E-5</v>
      </c>
    </row>
    <row r="425" spans="1:2">
      <c r="A425" s="6">
        <f t="shared" si="9"/>
        <v>21</v>
      </c>
      <c r="B425" s="11">
        <f t="shared" si="8"/>
        <v>-4.4348493874879587E-6</v>
      </c>
    </row>
    <row r="426" spans="1:2">
      <c r="A426" s="6">
        <f t="shared" si="9"/>
        <v>22</v>
      </c>
      <c r="B426" s="11">
        <f t="shared" si="8"/>
        <v>0</v>
      </c>
    </row>
    <row r="427" spans="1:2">
      <c r="A427" s="6">
        <f t="shared" si="9"/>
        <v>23</v>
      </c>
      <c r="B427" s="11">
        <f t="shared" si="8"/>
        <v>0</v>
      </c>
    </row>
    <row r="428" spans="1:2">
      <c r="A428" s="6">
        <f t="shared" si="9"/>
        <v>24</v>
      </c>
      <c r="B428" s="11">
        <f t="shared" si="8"/>
        <v>0</v>
      </c>
    </row>
    <row r="429" spans="1:2">
      <c r="A429" s="6">
        <f t="shared" si="9"/>
        <v>25</v>
      </c>
      <c r="B429" s="11">
        <f t="shared" si="8"/>
        <v>0</v>
      </c>
    </row>
    <row r="430" spans="1:2">
      <c r="A430" s="6">
        <f t="shared" si="9"/>
        <v>26</v>
      </c>
      <c r="B430" s="11">
        <f t="shared" si="8"/>
        <v>0</v>
      </c>
    </row>
    <row r="431" spans="1:2">
      <c r="A431" s="6">
        <f t="shared" si="9"/>
        <v>27</v>
      </c>
      <c r="B431" s="11">
        <f t="shared" si="8"/>
        <v>0</v>
      </c>
    </row>
    <row r="432" spans="1:2">
      <c r="A432" s="6">
        <f t="shared" si="9"/>
        <v>28</v>
      </c>
      <c r="B432" s="11">
        <f t="shared" si="8"/>
        <v>0</v>
      </c>
    </row>
    <row r="433" spans="1:2">
      <c r="A433" s="6">
        <f t="shared" si="9"/>
        <v>29</v>
      </c>
      <c r="B433" s="11">
        <f t="shared" si="8"/>
        <v>0</v>
      </c>
    </row>
    <row r="434" spans="1:2">
      <c r="A434" s="6">
        <f t="shared" si="9"/>
        <v>30</v>
      </c>
      <c r="B434" s="11">
        <f t="shared" si="8"/>
        <v>0</v>
      </c>
    </row>
    <row r="435" spans="1:2">
      <c r="A435" s="6">
        <f t="shared" si="9"/>
        <v>31</v>
      </c>
      <c r="B435" s="11">
        <f t="shared" si="8"/>
        <v>0</v>
      </c>
    </row>
    <row r="436" spans="1:2">
      <c r="A436" s="6">
        <f t="shared" si="9"/>
        <v>32</v>
      </c>
      <c r="B436" s="11">
        <f t="shared" si="8"/>
        <v>0</v>
      </c>
    </row>
    <row r="437" spans="1:2">
      <c r="A437" s="6">
        <f t="shared" si="9"/>
        <v>33</v>
      </c>
      <c r="B437" s="11">
        <f t="shared" si="8"/>
        <v>0</v>
      </c>
    </row>
    <row r="438" spans="1:2">
      <c r="A438" s="6">
        <f t="shared" si="9"/>
        <v>34</v>
      </c>
      <c r="B438" s="11">
        <f t="shared" si="8"/>
        <v>0</v>
      </c>
    </row>
    <row r="439" spans="1:2">
      <c r="A439" s="6">
        <f t="shared" si="9"/>
        <v>35</v>
      </c>
      <c r="B439" s="11">
        <f t="shared" si="8"/>
        <v>0</v>
      </c>
    </row>
    <row r="440" spans="1:2">
      <c r="A440" s="6">
        <f t="shared" si="9"/>
        <v>36</v>
      </c>
      <c r="B440" s="11">
        <f t="shared" si="8"/>
        <v>0</v>
      </c>
    </row>
    <row r="441" spans="1:2">
      <c r="A441" s="6">
        <f t="shared" si="9"/>
        <v>37</v>
      </c>
      <c r="B441" s="11">
        <f t="shared" si="8"/>
        <v>0</v>
      </c>
    </row>
    <row r="442" spans="1:2">
      <c r="A442" s="6">
        <f t="shared" si="9"/>
        <v>38</v>
      </c>
      <c r="B442" s="11">
        <f t="shared" si="8"/>
        <v>0</v>
      </c>
    </row>
    <row r="443" spans="1:2">
      <c r="A443" s="6">
        <f t="shared" si="9"/>
        <v>39</v>
      </c>
      <c r="B443" s="11">
        <f t="shared" si="8"/>
        <v>0</v>
      </c>
    </row>
    <row r="444" spans="1:2">
      <c r="A444" s="6">
        <f t="shared" si="9"/>
        <v>40</v>
      </c>
      <c r="B444" s="11">
        <f t="shared" si="8"/>
        <v>0</v>
      </c>
    </row>
    <row r="445" spans="1:2">
      <c r="A445" s="6">
        <f t="shared" si="9"/>
        <v>41</v>
      </c>
      <c r="B445" s="11">
        <f t="shared" si="8"/>
        <v>0</v>
      </c>
    </row>
    <row r="446" spans="1:2">
      <c r="A446" s="6">
        <f t="shared" si="9"/>
        <v>42</v>
      </c>
      <c r="B446" s="11">
        <f t="shared" si="8"/>
        <v>0</v>
      </c>
    </row>
    <row r="447" spans="1:2">
      <c r="A447" s="6">
        <f t="shared" si="9"/>
        <v>43</v>
      </c>
      <c r="B447" s="11">
        <f t="shared" si="8"/>
        <v>0</v>
      </c>
    </row>
    <row r="448" spans="1:2">
      <c r="A448" s="6">
        <f t="shared" si="9"/>
        <v>44</v>
      </c>
      <c r="B448" s="11">
        <f t="shared" si="8"/>
        <v>0</v>
      </c>
    </row>
    <row r="449" spans="1:2">
      <c r="A449" s="6">
        <f t="shared" si="9"/>
        <v>45</v>
      </c>
      <c r="B449" s="11">
        <f t="shared" si="8"/>
        <v>0</v>
      </c>
    </row>
    <row r="450" spans="1:2">
      <c r="A450" s="6">
        <f t="shared" si="9"/>
        <v>46</v>
      </c>
      <c r="B450" s="11">
        <f t="shared" si="8"/>
        <v>0</v>
      </c>
    </row>
    <row r="451" spans="1:2">
      <c r="A451" s="6">
        <f t="shared" si="9"/>
        <v>47</v>
      </c>
      <c r="B451" s="11">
        <f t="shared" si="8"/>
        <v>0</v>
      </c>
    </row>
    <row r="452" spans="1:2">
      <c r="A452" s="6">
        <f t="shared" si="9"/>
        <v>48</v>
      </c>
      <c r="B452" s="11">
        <f t="shared" si="8"/>
        <v>0</v>
      </c>
    </row>
    <row r="453" spans="1:2">
      <c r="A453" s="6">
        <f t="shared" si="9"/>
        <v>49</v>
      </c>
      <c r="B453" s="11">
        <f t="shared" si="8"/>
        <v>0</v>
      </c>
    </row>
    <row r="454" spans="1:2">
      <c r="A454" s="6">
        <f t="shared" si="9"/>
        <v>50</v>
      </c>
      <c r="B454" s="11">
        <f t="shared" si="8"/>
        <v>0</v>
      </c>
    </row>
    <row r="455" spans="1:2">
      <c r="A455" s="6">
        <v>51</v>
      </c>
      <c r="B455" s="11">
        <f>_xlfn.PERCENTILE.INC($B$280:$B$399,A455/100)</f>
        <v>0</v>
      </c>
    </row>
    <row r="456" spans="1:2">
      <c r="A456" s="6">
        <f>A455+1</f>
        <v>52</v>
      </c>
      <c r="B456" s="11">
        <f>_xlfn.PERCENTILE.INC($B$280:$B$399,A456/100)</f>
        <v>0</v>
      </c>
    </row>
    <row r="457" spans="1:2">
      <c r="A457" s="6">
        <f>A456+1</f>
        <v>53</v>
      </c>
      <c r="B457" s="11">
        <f>_xlfn.PERCENTILE.INC($B$280:$B$399,A457/100)</f>
        <v>0</v>
      </c>
    </row>
    <row r="458" spans="1:2">
      <c r="A458" s="6">
        <f>A457+1</f>
        <v>54</v>
      </c>
      <c r="B458" s="11">
        <f>_xlfn.PERCENTILE.INC($B$280:$B$399,A458/100)</f>
        <v>0</v>
      </c>
    </row>
    <row r="459" spans="1:2">
      <c r="A459" s="6">
        <f>A458+1</f>
        <v>55</v>
      </c>
      <c r="B459" s="11">
        <f>_xlfn.PERCENTILE.INC($B$280:$B$399,A459/100)</f>
        <v>0</v>
      </c>
    </row>
    <row r="460" spans="1:2">
      <c r="A460" s="6">
        <f>A459+1</f>
        <v>56</v>
      </c>
      <c r="B460" s="11">
        <f>_xlfn.PERCENTILE.INC($B$280:$B$399,A460/100)</f>
        <v>0</v>
      </c>
    </row>
    <row r="461" spans="1:2">
      <c r="A461" s="6">
        <f>A460+1</f>
        <v>57</v>
      </c>
      <c r="B461" s="11">
        <f>_xlfn.PERCENTILE.INC($B$280:$B$399,A461/100)</f>
        <v>0</v>
      </c>
    </row>
    <row r="462" spans="1:2">
      <c r="A462" s="6">
        <f>A461+1</f>
        <v>58</v>
      </c>
      <c r="B462" s="11">
        <f>_xlfn.PERCENTILE.INC($B$280:$B$399,A462/100)</f>
        <v>0</v>
      </c>
    </row>
    <row r="463" spans="1:2">
      <c r="A463" s="6">
        <f>A462+1</f>
        <v>59</v>
      </c>
      <c r="B463" s="11">
        <f>_xlfn.PERCENTILE.INC($B$280:$B$399,A463/100)</f>
        <v>0</v>
      </c>
    </row>
    <row r="464" spans="1:2">
      <c r="A464" s="6">
        <f>A463+1</f>
        <v>60</v>
      </c>
      <c r="B464" s="11">
        <f>_xlfn.PERCENTILE.INC($B$280:$B$399,A464/100)</f>
        <v>0</v>
      </c>
    </row>
    <row r="465" spans="1:2">
      <c r="A465" s="6">
        <f>A464+1</f>
        <v>61</v>
      </c>
      <c r="B465" s="11">
        <f>_xlfn.PERCENTILE.INC($B$280:$B$399,A465/100)</f>
        <v>0</v>
      </c>
    </row>
    <row r="466" spans="1:2">
      <c r="A466" s="6">
        <f>A465+1</f>
        <v>62</v>
      </c>
      <c r="B466" s="11">
        <f>_xlfn.PERCENTILE.INC($B$280:$B$399,A466/100)</f>
        <v>0</v>
      </c>
    </row>
    <row r="467" spans="1:2">
      <c r="A467" s="6">
        <f>A466+1</f>
        <v>63</v>
      </c>
      <c r="B467" s="11">
        <f>_xlfn.PERCENTILE.INC($B$280:$B$399,A467/100)</f>
        <v>0</v>
      </c>
    </row>
    <row r="468" spans="1:2">
      <c r="A468" s="6">
        <f>A467+1</f>
        <v>64</v>
      </c>
      <c r="B468" s="11">
        <f>_xlfn.PERCENTILE.INC($B$280:$B$399,A468/100)</f>
        <v>0</v>
      </c>
    </row>
    <row r="469" spans="1:2">
      <c r="A469" s="6">
        <f>A468+1</f>
        <v>65</v>
      </c>
      <c r="B469" s="11">
        <f>_xlfn.PERCENTILE.INC($B$280:$B$399,A469/100)</f>
        <v>0</v>
      </c>
    </row>
    <row r="470" spans="1:2">
      <c r="A470" s="6">
        <f>A469+1</f>
        <v>66</v>
      </c>
      <c r="B470" s="11">
        <f>_xlfn.PERCENTILE.INC($B$280:$B$399,A470/100)</f>
        <v>0</v>
      </c>
    </row>
    <row r="471" spans="1:2">
      <c r="A471" s="6">
        <f>A470+1</f>
        <v>67</v>
      </c>
      <c r="B471" s="11">
        <f>_xlfn.PERCENTILE.INC($B$280:$B$399,A471/100)</f>
        <v>0</v>
      </c>
    </row>
    <row r="472" spans="1:2">
      <c r="A472" s="6">
        <f>A471+1</f>
        <v>68</v>
      </c>
      <c r="B472" s="11">
        <f>_xlfn.PERCENTILE.INC($B$280:$B$399,A472/100)</f>
        <v>0</v>
      </c>
    </row>
    <row r="473" spans="1:2">
      <c r="A473" s="6">
        <f>A472+1</f>
        <v>69</v>
      </c>
      <c r="B473" s="11">
        <f>_xlfn.PERCENTILE.INC($B$280:$B$399,A473/100)</f>
        <v>0</v>
      </c>
    </row>
    <row r="474" spans="1:2">
      <c r="A474" s="6">
        <f>A473+1</f>
        <v>70</v>
      </c>
      <c r="B474" s="11">
        <f>_xlfn.PERCENTILE.INC($B$280:$B$399,A474/100)</f>
        <v>0</v>
      </c>
    </row>
    <row r="475" spans="1:2">
      <c r="A475" s="6">
        <f>A474+1</f>
        <v>71</v>
      </c>
      <c r="B475" s="11">
        <f>_xlfn.PERCENTILE.INC($B$280:$B$399,A475/100)</f>
        <v>0</v>
      </c>
    </row>
    <row r="476" spans="1:2">
      <c r="A476" s="6">
        <f>A475+1</f>
        <v>72</v>
      </c>
      <c r="B476" s="11">
        <f>_xlfn.PERCENTILE.INC($B$280:$B$399,A476/100)</f>
        <v>0</v>
      </c>
    </row>
    <row r="477" spans="1:2">
      <c r="A477" s="6">
        <f>A476+1</f>
        <v>73</v>
      </c>
      <c r="B477" s="11">
        <f>_xlfn.PERCENTILE.INC($B$280:$B$399,A477/100)</f>
        <v>0</v>
      </c>
    </row>
    <row r="478" spans="1:2">
      <c r="A478" s="6">
        <f>A477+1</f>
        <v>74</v>
      </c>
      <c r="B478" s="11">
        <f>_xlfn.PERCENTILE.INC($B$280:$B$399,A478/100)</f>
        <v>0</v>
      </c>
    </row>
    <row r="479" spans="1:2">
      <c r="A479" s="6">
        <f>A478+1</f>
        <v>75</v>
      </c>
      <c r="B479" s="11">
        <f>_xlfn.PERCENTILE.INC($B$280:$B$399,A479/100)</f>
        <v>0</v>
      </c>
    </row>
    <row r="480" spans="1:2">
      <c r="A480" s="6">
        <f>A479+1</f>
        <v>76</v>
      </c>
      <c r="B480" s="11">
        <f>_xlfn.PERCENTILE.INC($B$280:$B$399,A480/100)</f>
        <v>0</v>
      </c>
    </row>
    <row r="481" spans="1:2">
      <c r="A481" s="6">
        <f>A480+1</f>
        <v>77</v>
      </c>
      <c r="B481" s="11">
        <f>_xlfn.PERCENTILE.INC($B$280:$B$399,A481/100)</f>
        <v>0</v>
      </c>
    </row>
    <row r="482" spans="1:2">
      <c r="A482" s="6">
        <f>A481+1</f>
        <v>78</v>
      </c>
      <c r="B482" s="11">
        <f>_xlfn.PERCENTILE.INC($B$280:$B$399,A482/100)</f>
        <v>0</v>
      </c>
    </row>
    <row r="483" spans="1:2">
      <c r="A483" s="6">
        <f>A482+1</f>
        <v>79</v>
      </c>
      <c r="B483" s="11">
        <f>_xlfn.PERCENTILE.INC($B$280:$B$399,A483/100)</f>
        <v>0</v>
      </c>
    </row>
    <row r="484" spans="1:2">
      <c r="A484" s="6">
        <f>A483+1</f>
        <v>80</v>
      </c>
      <c r="B484" s="11">
        <f>_xlfn.PERCENTILE.INC($B$280:$B$399,A484/100)</f>
        <v>0</v>
      </c>
    </row>
    <row r="485" spans="1:2">
      <c r="A485" s="6">
        <f>A484+1</f>
        <v>81</v>
      </c>
      <c r="B485" s="11">
        <f>_xlfn.PERCENTILE.INC($B$280:$B$399,A485/100)</f>
        <v>0</v>
      </c>
    </row>
    <row r="486" spans="1:2">
      <c r="A486" s="6">
        <f>A485+1</f>
        <v>82</v>
      </c>
      <c r="B486" s="11">
        <f>_xlfn.PERCENTILE.INC($B$280:$B$399,A486/100)</f>
        <v>0</v>
      </c>
    </row>
    <row r="487" spans="1:2">
      <c r="A487" s="6">
        <f>A486+1</f>
        <v>83</v>
      </c>
      <c r="B487" s="11">
        <f>_xlfn.PERCENTILE.INC($B$280:$B$399,A487/100)</f>
        <v>0</v>
      </c>
    </row>
    <row r="488" spans="1:2">
      <c r="A488" s="6">
        <f>A487+1</f>
        <v>84</v>
      </c>
      <c r="B488" s="11">
        <f>_xlfn.PERCENTILE.INC($B$280:$B$399,A488/100)</f>
        <v>0</v>
      </c>
    </row>
    <row r="489" spans="1:2">
      <c r="A489" s="6">
        <f>A488+1</f>
        <v>85</v>
      </c>
      <c r="B489" s="11">
        <f>_xlfn.PERCENTILE.INC($B$280:$B$399,A489/100)</f>
        <v>0</v>
      </c>
    </row>
    <row r="490" spans="1:2">
      <c r="A490" s="6">
        <f>A489+1</f>
        <v>86</v>
      </c>
      <c r="B490" s="11">
        <f>_xlfn.PERCENTILE.INC($B$280:$B$399,A490/100)</f>
        <v>0</v>
      </c>
    </row>
    <row r="491" spans="1:2">
      <c r="A491" s="6">
        <f>A490+1</f>
        <v>87</v>
      </c>
      <c r="B491" s="11">
        <f>_xlfn.PERCENTILE.INC($B$280:$B$399,A491/100)</f>
        <v>0</v>
      </c>
    </row>
    <row r="492" spans="1:2">
      <c r="A492" s="6">
        <f>A491+1</f>
        <v>88</v>
      </c>
      <c r="B492" s="11">
        <f>_xlfn.PERCENTILE.INC($B$280:$B$399,A492/100)</f>
        <v>0</v>
      </c>
    </row>
    <row r="493" spans="1:2">
      <c r="A493" s="6">
        <f>A492+1</f>
        <v>89</v>
      </c>
      <c r="B493" s="11">
        <f>_xlfn.PERCENTILE.INC($B$280:$B$399,A493/100)</f>
        <v>1.5659244820889148E-5</v>
      </c>
    </row>
    <row r="494" spans="1:2">
      <c r="A494" s="6">
        <f>A493+1</f>
        <v>90</v>
      </c>
      <c r="B494" s="11">
        <f>_xlfn.PERCENTILE.INC($B$280:$B$399,A494/100)</f>
        <v>3.3018189249612199E-5</v>
      </c>
    </row>
    <row r="495" spans="1:2">
      <c r="A495" s="6">
        <f>A494+1</f>
        <v>91</v>
      </c>
      <c r="B495" s="11">
        <f>_xlfn.PERCENTILE.INC($B$280:$B$399,A495/100)</f>
        <v>8.2396930043562348E-5</v>
      </c>
    </row>
    <row r="496" spans="1:2">
      <c r="A496" s="6">
        <f>A495+1</f>
        <v>92</v>
      </c>
      <c r="B496" s="11">
        <f>_xlfn.PERCENTILE.INC($B$280:$B$399,A496/100)</f>
        <v>8.7803001006125927E-5</v>
      </c>
    </row>
    <row r="497" spans="1:2">
      <c r="A497" s="6">
        <f>A496+1</f>
        <v>93</v>
      </c>
      <c r="B497" s="11">
        <f>_xlfn.PERCENTILE.INC($B$280:$B$399,A497/100)</f>
        <v>1.0103456819958283E-4</v>
      </c>
    </row>
    <row r="498" spans="1:2">
      <c r="A498" s="6">
        <f>A497+1</f>
        <v>94</v>
      </c>
      <c r="B498" s="11">
        <f>_xlfn.PERCENTILE.INC($B$280:$B$399,A498/100)</f>
        <v>1.5769927017448724E-4</v>
      </c>
    </row>
    <row r="499" spans="1:2">
      <c r="A499" s="6">
        <f>A498+1</f>
        <v>95</v>
      </c>
      <c r="B499" s="11">
        <f>_xlfn.PERCENTILE.INC($B$280:$B$399,A499/100)</f>
        <v>3.1243151757750835E-2</v>
      </c>
    </row>
    <row r="500" spans="1:2">
      <c r="A500" s="6">
        <f>A499+1</f>
        <v>96</v>
      </c>
      <c r="B500" s="11">
        <f>_xlfn.PERCENTILE.INC($B$280:$B$399,A500/100)</f>
        <v>3.6834835608995996E-2</v>
      </c>
    </row>
    <row r="501" spans="1:2">
      <c r="A501" s="6">
        <f>A500+1</f>
        <v>97</v>
      </c>
      <c r="B501" s="11">
        <f>_xlfn.PERCENTILE.INC($B$280:$B$399,A501/100)</f>
        <v>5.5564944950465683E-2</v>
      </c>
    </row>
    <row r="502" spans="1:2">
      <c r="A502" s="6">
        <f>A501+1</f>
        <v>98</v>
      </c>
      <c r="B502" s="11">
        <f>_xlfn.PERCENTILE.INC($B$280:$B$399,A502/100)</f>
        <v>9.7053949270861195E-2</v>
      </c>
    </row>
    <row r="503" spans="1:2">
      <c r="A503" s="6">
        <f>A502+1</f>
        <v>99</v>
      </c>
      <c r="B503" s="11">
        <f>_xlfn.PERCENTILE.INC($B$280:$B$399,A503/100)</f>
        <v>0.19018848374895897</v>
      </c>
    </row>
    <row r="504" spans="1:2">
      <c r="A504" s="6">
        <v>100</v>
      </c>
      <c r="B504" s="11">
        <f>MAX($B$300:$B$465)</f>
        <v>0.20848056537102488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5620-4733-42A8-ABF7-C90AB487BAC4}">
  <dimension ref="A2:B104"/>
  <sheetViews>
    <sheetView topLeftCell="A69" workbookViewId="0">
      <selection activeCell="B104" sqref="A104:B104"/>
    </sheetView>
  </sheetViews>
  <sheetFormatPr defaultRowHeight="15"/>
  <cols>
    <col min="1" max="1" width="14.28515625" bestFit="1" customWidth="1"/>
    <col min="2" max="2" width="16.42578125" bestFit="1" customWidth="1"/>
    <col min="3" max="3" width="13.28515625" bestFit="1" customWidth="1"/>
    <col min="4" max="90" width="6.5703125" bestFit="1" customWidth="1"/>
    <col min="91" max="96" width="7.7109375" bestFit="1" customWidth="1"/>
    <col min="97" max="102" width="8.7109375" bestFit="1" customWidth="1"/>
    <col min="103" max="103" width="11.42578125" bestFit="1" customWidth="1"/>
  </cols>
  <sheetData>
    <row r="2" spans="1:2">
      <c r="A2" s="12" t="s">
        <v>63</v>
      </c>
      <c r="B2" t="s">
        <v>64</v>
      </c>
    </row>
    <row r="3" spans="1:2">
      <c r="A3" s="13">
        <v>0</v>
      </c>
      <c r="B3" s="4">
        <v>0</v>
      </c>
    </row>
    <row r="4" spans="1:2">
      <c r="A4" s="13">
        <v>1</v>
      </c>
      <c r="B4" s="4">
        <v>0</v>
      </c>
    </row>
    <row r="5" spans="1:2">
      <c r="A5" s="13">
        <v>2</v>
      </c>
      <c r="B5" s="4">
        <v>0</v>
      </c>
    </row>
    <row r="6" spans="1:2">
      <c r="A6" s="13">
        <v>3</v>
      </c>
      <c r="B6" s="4">
        <v>0</v>
      </c>
    </row>
    <row r="7" spans="1:2">
      <c r="A7" s="13">
        <v>4</v>
      </c>
      <c r="B7" s="4">
        <v>0</v>
      </c>
    </row>
    <row r="8" spans="1:2">
      <c r="A8" s="13">
        <v>5</v>
      </c>
      <c r="B8" s="4">
        <v>0</v>
      </c>
    </row>
    <row r="9" spans="1:2">
      <c r="A9" s="13">
        <v>6</v>
      </c>
      <c r="B9" s="4">
        <v>0</v>
      </c>
    </row>
    <row r="10" spans="1:2">
      <c r="A10" s="13">
        <v>7</v>
      </c>
      <c r="B10" s="4">
        <v>0</v>
      </c>
    </row>
    <row r="11" spans="1:2">
      <c r="A11" s="13">
        <v>8</v>
      </c>
      <c r="B11" s="4">
        <v>0</v>
      </c>
    </row>
    <row r="12" spans="1:2">
      <c r="A12" s="13">
        <v>9</v>
      </c>
      <c r="B12" s="4">
        <v>0</v>
      </c>
    </row>
    <row r="13" spans="1:2">
      <c r="A13" s="13">
        <v>10</v>
      </c>
      <c r="B13" s="4">
        <v>0</v>
      </c>
    </row>
    <row r="14" spans="1:2">
      <c r="A14" s="13">
        <v>11</v>
      </c>
      <c r="B14" s="4">
        <v>0</v>
      </c>
    </row>
    <row r="15" spans="1:2">
      <c r="A15" s="13">
        <v>12</v>
      </c>
      <c r="B15" s="4">
        <v>0</v>
      </c>
    </row>
    <row r="16" spans="1:2">
      <c r="A16" s="13">
        <v>13</v>
      </c>
      <c r="B16" s="4">
        <v>0</v>
      </c>
    </row>
    <row r="17" spans="1:2">
      <c r="A17" s="13">
        <v>14</v>
      </c>
      <c r="B17" s="4">
        <v>0</v>
      </c>
    </row>
    <row r="18" spans="1:2">
      <c r="A18" s="13">
        <v>15</v>
      </c>
      <c r="B18" s="4">
        <v>0</v>
      </c>
    </row>
    <row r="19" spans="1:2">
      <c r="A19" s="13">
        <v>16</v>
      </c>
      <c r="B19" s="4">
        <v>0</v>
      </c>
    </row>
    <row r="20" spans="1:2">
      <c r="A20" s="13">
        <v>17</v>
      </c>
      <c r="B20" s="4">
        <v>0</v>
      </c>
    </row>
    <row r="21" spans="1:2">
      <c r="A21" s="13">
        <v>18</v>
      </c>
      <c r="B21" s="4">
        <v>0</v>
      </c>
    </row>
    <row r="22" spans="1:2">
      <c r="A22" s="13">
        <v>19</v>
      </c>
      <c r="B22" s="4">
        <v>0</v>
      </c>
    </row>
    <row r="23" spans="1:2">
      <c r="A23" s="13">
        <v>20</v>
      </c>
      <c r="B23" s="4">
        <v>0</v>
      </c>
    </row>
    <row r="24" spans="1:2">
      <c r="A24" s="13">
        <v>21</v>
      </c>
      <c r="B24" s="4">
        <v>0</v>
      </c>
    </row>
    <row r="25" spans="1:2">
      <c r="A25" s="13">
        <v>22</v>
      </c>
      <c r="B25" s="4">
        <v>0</v>
      </c>
    </row>
    <row r="26" spans="1:2">
      <c r="A26" s="13">
        <v>23</v>
      </c>
      <c r="B26" s="4">
        <v>0</v>
      </c>
    </row>
    <row r="27" spans="1:2">
      <c r="A27" s="13">
        <v>24</v>
      </c>
      <c r="B27" s="4">
        <v>0</v>
      </c>
    </row>
    <row r="28" spans="1:2">
      <c r="A28" s="13">
        <v>25</v>
      </c>
      <c r="B28" s="4">
        <v>0</v>
      </c>
    </row>
    <row r="29" spans="1:2">
      <c r="A29" s="13">
        <v>26</v>
      </c>
      <c r="B29" s="4">
        <v>0</v>
      </c>
    </row>
    <row r="30" spans="1:2">
      <c r="A30" s="13">
        <v>27</v>
      </c>
      <c r="B30" s="4">
        <v>0</v>
      </c>
    </row>
    <row r="31" spans="1:2">
      <c r="A31" s="13">
        <v>28</v>
      </c>
      <c r="B31" s="4">
        <v>0</v>
      </c>
    </row>
    <row r="32" spans="1:2">
      <c r="A32" s="13">
        <v>29</v>
      </c>
      <c r="B32" s="4">
        <v>0</v>
      </c>
    </row>
    <row r="33" spans="1:2">
      <c r="A33" s="13">
        <v>30</v>
      </c>
      <c r="B33" s="4">
        <v>0</v>
      </c>
    </row>
    <row r="34" spans="1:2">
      <c r="A34" s="13">
        <v>31</v>
      </c>
      <c r="B34" s="4">
        <v>0</v>
      </c>
    </row>
    <row r="35" spans="1:2">
      <c r="A35" s="13">
        <v>32</v>
      </c>
      <c r="B35" s="4">
        <v>0</v>
      </c>
    </row>
    <row r="36" spans="1:2">
      <c r="A36" s="13">
        <v>33</v>
      </c>
      <c r="B36" s="4">
        <v>0</v>
      </c>
    </row>
    <row r="37" spans="1:2">
      <c r="A37" s="13">
        <v>34</v>
      </c>
      <c r="B37" s="4">
        <v>0</v>
      </c>
    </row>
    <row r="38" spans="1:2">
      <c r="A38" s="13">
        <v>35</v>
      </c>
      <c r="B38" s="4">
        <v>0</v>
      </c>
    </row>
    <row r="39" spans="1:2">
      <c r="A39" s="13">
        <v>36</v>
      </c>
      <c r="B39" s="4">
        <v>0</v>
      </c>
    </row>
    <row r="40" spans="1:2">
      <c r="A40" s="13">
        <v>37</v>
      </c>
      <c r="B40" s="4">
        <v>0</v>
      </c>
    </row>
    <row r="41" spans="1:2">
      <c r="A41" s="13">
        <v>38</v>
      </c>
      <c r="B41" s="4">
        <v>0</v>
      </c>
    </row>
    <row r="42" spans="1:2">
      <c r="A42" s="13">
        <v>39</v>
      </c>
      <c r="B42" s="4">
        <v>0</v>
      </c>
    </row>
    <row r="43" spans="1:2">
      <c r="A43" s="13">
        <v>40</v>
      </c>
      <c r="B43" s="4">
        <v>0</v>
      </c>
    </row>
    <row r="44" spans="1:2">
      <c r="A44" s="13">
        <v>41</v>
      </c>
      <c r="B44" s="4">
        <v>0</v>
      </c>
    </row>
    <row r="45" spans="1:2">
      <c r="A45" s="13">
        <v>42</v>
      </c>
      <c r="B45" s="4">
        <v>0</v>
      </c>
    </row>
    <row r="46" spans="1:2">
      <c r="A46" s="13">
        <v>43</v>
      </c>
      <c r="B46" s="4">
        <v>0</v>
      </c>
    </row>
    <row r="47" spans="1:2">
      <c r="A47" s="13">
        <v>44</v>
      </c>
      <c r="B47" s="4">
        <v>0</v>
      </c>
    </row>
    <row r="48" spans="1:2">
      <c r="A48" s="13">
        <v>45</v>
      </c>
      <c r="B48" s="4">
        <v>0</v>
      </c>
    </row>
    <row r="49" spans="1:2">
      <c r="A49" s="13">
        <v>46</v>
      </c>
      <c r="B49" s="4">
        <v>0</v>
      </c>
    </row>
    <row r="50" spans="1:2">
      <c r="A50" s="13">
        <v>47</v>
      </c>
      <c r="B50" s="4">
        <v>0</v>
      </c>
    </row>
    <row r="51" spans="1:2">
      <c r="A51" s="13">
        <v>48</v>
      </c>
      <c r="B51" s="4">
        <v>0</v>
      </c>
    </row>
    <row r="52" spans="1:2">
      <c r="A52" s="13">
        <v>49</v>
      </c>
      <c r="B52" s="4">
        <v>0</v>
      </c>
    </row>
    <row r="53" spans="1:2">
      <c r="A53" s="13">
        <v>50</v>
      </c>
      <c r="B53" s="4">
        <v>0</v>
      </c>
    </row>
    <row r="54" spans="1:2">
      <c r="A54" s="13">
        <v>51</v>
      </c>
      <c r="B54" s="4">
        <v>0</v>
      </c>
    </row>
    <row r="55" spans="1:2">
      <c r="A55" s="13">
        <v>52</v>
      </c>
      <c r="B55" s="4">
        <v>0</v>
      </c>
    </row>
    <row r="56" spans="1:2">
      <c r="A56" s="13">
        <v>53</v>
      </c>
      <c r="B56" s="4">
        <v>0</v>
      </c>
    </row>
    <row r="57" spans="1:2">
      <c r="A57" s="13">
        <v>54</v>
      </c>
      <c r="B57" s="4">
        <v>0</v>
      </c>
    </row>
    <row r="58" spans="1:2">
      <c r="A58" s="13">
        <v>55</v>
      </c>
      <c r="B58" s="4">
        <v>0</v>
      </c>
    </row>
    <row r="59" spans="1:2">
      <c r="A59" s="13">
        <v>56</v>
      </c>
      <c r="B59" s="4">
        <v>0</v>
      </c>
    </row>
    <row r="60" spans="1:2">
      <c r="A60" s="13">
        <v>57</v>
      </c>
      <c r="B60" s="4">
        <v>0</v>
      </c>
    </row>
    <row r="61" spans="1:2">
      <c r="A61" s="13">
        <v>58</v>
      </c>
      <c r="B61" s="4">
        <v>0</v>
      </c>
    </row>
    <row r="62" spans="1:2">
      <c r="A62" s="13">
        <v>59</v>
      </c>
      <c r="B62" s="4">
        <v>0</v>
      </c>
    </row>
    <row r="63" spans="1:2">
      <c r="A63" s="13">
        <v>60</v>
      </c>
      <c r="B63" s="4">
        <v>0</v>
      </c>
    </row>
    <row r="64" spans="1:2">
      <c r="A64" s="13">
        <v>61</v>
      </c>
      <c r="B64" s="4">
        <v>0</v>
      </c>
    </row>
    <row r="65" spans="1:2">
      <c r="A65" s="13">
        <v>62</v>
      </c>
      <c r="B65" s="4">
        <v>0</v>
      </c>
    </row>
    <row r="66" spans="1:2">
      <c r="A66" s="13">
        <v>63</v>
      </c>
      <c r="B66" s="4">
        <v>0</v>
      </c>
    </row>
    <row r="67" spans="1:2">
      <c r="A67" s="13">
        <v>64</v>
      </c>
      <c r="B67" s="4">
        <v>0</v>
      </c>
    </row>
    <row r="68" spans="1:2">
      <c r="A68" s="13">
        <v>65</v>
      </c>
      <c r="B68" s="4">
        <v>0</v>
      </c>
    </row>
    <row r="69" spans="1:2">
      <c r="A69" s="13">
        <v>66</v>
      </c>
      <c r="B69" s="4">
        <v>0</v>
      </c>
    </row>
    <row r="70" spans="1:2">
      <c r="A70" s="13">
        <v>67</v>
      </c>
      <c r="B70" s="4">
        <v>3.1908941497138701E-6</v>
      </c>
    </row>
    <row r="71" spans="1:2">
      <c r="A71" s="13">
        <v>68</v>
      </c>
      <c r="B71" s="4">
        <v>1.02371469037399E-5</v>
      </c>
    </row>
    <row r="72" spans="1:2">
      <c r="A72" s="13">
        <v>69</v>
      </c>
      <c r="B72" s="4">
        <v>1.80871931518256E-5</v>
      </c>
    </row>
    <row r="73" spans="1:2">
      <c r="A73" s="13">
        <v>70</v>
      </c>
      <c r="B73" s="4">
        <v>2.59734510998921E-5</v>
      </c>
    </row>
    <row r="74" spans="1:2">
      <c r="A74" s="13">
        <v>71</v>
      </c>
      <c r="B74" s="4">
        <v>3.7077888832297501E-5</v>
      </c>
    </row>
    <row r="75" spans="1:2">
      <c r="A75" s="13">
        <v>72</v>
      </c>
      <c r="B75" s="4">
        <v>6.9498307359374406E-5</v>
      </c>
    </row>
    <row r="76" spans="1:2">
      <c r="A76" s="13">
        <v>73</v>
      </c>
      <c r="B76" s="4">
        <v>8.6793003620129201E-5</v>
      </c>
    </row>
    <row r="77" spans="1:2">
      <c r="A77" s="13">
        <v>74</v>
      </c>
      <c r="B77" s="4">
        <v>8.9012250488682606E-5</v>
      </c>
    </row>
    <row r="78" spans="1:2">
      <c r="A78" s="13">
        <v>75</v>
      </c>
      <c r="B78" s="4">
        <v>1.13982723226908E-4</v>
      </c>
    </row>
    <row r="79" spans="1:2">
      <c r="A79" s="13">
        <v>76</v>
      </c>
      <c r="B79" s="4">
        <v>1.4573910339148901E-4</v>
      </c>
    </row>
    <row r="80" spans="1:2">
      <c r="A80" s="13">
        <v>77</v>
      </c>
      <c r="B80" s="4">
        <v>1.6426876987402401E-4</v>
      </c>
    </row>
    <row r="81" spans="1:2">
      <c r="A81" s="13">
        <v>78</v>
      </c>
      <c r="B81" s="4">
        <v>2.80084565329196E-4</v>
      </c>
    </row>
    <row r="82" spans="1:2">
      <c r="A82" s="13">
        <v>79</v>
      </c>
      <c r="B82" s="4">
        <v>9.3368221496451605E-4</v>
      </c>
    </row>
    <row r="83" spans="1:2">
      <c r="A83" s="13">
        <v>80</v>
      </c>
      <c r="B83" s="4">
        <v>1.9685058468213801E-3</v>
      </c>
    </row>
    <row r="84" spans="1:2">
      <c r="A84" s="13">
        <v>81</v>
      </c>
      <c r="B84" s="4">
        <v>2.4438769214036298E-3</v>
      </c>
    </row>
    <row r="85" spans="1:2">
      <c r="A85" s="13">
        <v>82</v>
      </c>
      <c r="B85" s="4">
        <v>6.4840901817816701E-3</v>
      </c>
    </row>
    <row r="86" spans="1:2">
      <c r="A86" s="13">
        <v>83</v>
      </c>
      <c r="B86" s="4">
        <v>1.6213199259447499E-2</v>
      </c>
    </row>
    <row r="87" spans="1:2">
      <c r="A87" s="13">
        <v>84</v>
      </c>
      <c r="B87" s="4">
        <v>3.0594208489403699E-2</v>
      </c>
    </row>
    <row r="88" spans="1:2">
      <c r="A88" s="13">
        <v>85</v>
      </c>
      <c r="B88" s="4">
        <v>3.1650981642420903E-2</v>
      </c>
    </row>
    <row r="89" spans="1:2">
      <c r="A89" s="13">
        <v>86</v>
      </c>
      <c r="B89" s="4">
        <v>3.8048012550464402E-2</v>
      </c>
    </row>
    <row r="90" spans="1:2">
      <c r="A90" s="13">
        <v>87</v>
      </c>
      <c r="B90" s="4">
        <v>5.17594771347894E-2</v>
      </c>
    </row>
    <row r="91" spans="1:2">
      <c r="A91" s="13">
        <v>88</v>
      </c>
      <c r="B91" s="4">
        <v>6.4992338404174593E-2</v>
      </c>
    </row>
    <row r="92" spans="1:2">
      <c r="A92" s="13">
        <v>89</v>
      </c>
      <c r="B92" s="4">
        <v>0.10279457354093501</v>
      </c>
    </row>
    <row r="93" spans="1:2">
      <c r="A93" s="13">
        <v>90</v>
      </c>
      <c r="B93" s="4">
        <v>0.124068909596786</v>
      </c>
    </row>
    <row r="94" spans="1:2">
      <c r="A94" s="13">
        <v>91</v>
      </c>
      <c r="B94" s="4">
        <v>0.20805590650827099</v>
      </c>
    </row>
    <row r="95" spans="1:2">
      <c r="A95" s="13">
        <v>92</v>
      </c>
      <c r="B95" s="4">
        <v>0.41732078508204401</v>
      </c>
    </row>
    <row r="96" spans="1:2">
      <c r="A96" s="13">
        <v>93</v>
      </c>
      <c r="B96" s="4">
        <v>0.64549495738557905</v>
      </c>
    </row>
    <row r="97" spans="1:2">
      <c r="A97" s="13">
        <v>94</v>
      </c>
      <c r="B97" s="4">
        <v>0.950502419054708</v>
      </c>
    </row>
    <row r="98" spans="1:2">
      <c r="A98" s="13">
        <v>95</v>
      </c>
      <c r="B98" s="4">
        <v>1</v>
      </c>
    </row>
    <row r="99" spans="1:2">
      <c r="A99" s="13">
        <v>96</v>
      </c>
      <c r="B99" s="4">
        <v>1</v>
      </c>
    </row>
    <row r="100" spans="1:2">
      <c r="A100" s="13">
        <v>97</v>
      </c>
      <c r="B100" s="4">
        <v>1</v>
      </c>
    </row>
    <row r="101" spans="1:2">
      <c r="A101" s="13">
        <v>98</v>
      </c>
      <c r="B101" s="4">
        <v>1.62</v>
      </c>
    </row>
    <row r="102" spans="1:2">
      <c r="A102" s="13">
        <v>99</v>
      </c>
      <c r="B102" s="4">
        <v>2.3666055045871599</v>
      </c>
    </row>
    <row r="103" spans="1:2">
      <c r="A103" s="13">
        <v>100</v>
      </c>
      <c r="B103" s="4">
        <v>2.45543558701304</v>
      </c>
    </row>
    <row r="104" spans="1:2">
      <c r="A104" s="13" t="s">
        <v>65</v>
      </c>
      <c r="B104" s="4">
        <v>0.12016248475952102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C479-8C10-4F33-9E75-E18BB5530095}">
  <dimension ref="A1:B102"/>
  <sheetViews>
    <sheetView tabSelected="1" topLeftCell="A6" workbookViewId="0">
      <selection activeCell="B25" sqref="B21:B25"/>
    </sheetView>
  </sheetViews>
  <sheetFormatPr defaultRowHeight="15"/>
  <cols>
    <col min="2" max="2" width="9.42578125" bestFit="1" customWidth="1"/>
  </cols>
  <sheetData>
    <row r="1" spans="1:2">
      <c r="A1" s="32" t="s">
        <v>63</v>
      </c>
      <c r="B1" s="32" t="s">
        <v>64</v>
      </c>
    </row>
    <row r="2" spans="1:2">
      <c r="A2">
        <v>0</v>
      </c>
      <c r="B2" s="4">
        <v>-2.45543558701304</v>
      </c>
    </row>
    <row r="3" spans="1:2">
      <c r="A3">
        <v>1</v>
      </c>
      <c r="B3" s="4">
        <v>-2.3666055045871559</v>
      </c>
    </row>
    <row r="4" spans="1:2">
      <c r="A4">
        <v>2</v>
      </c>
      <c r="B4" s="4">
        <v>-1.62</v>
      </c>
    </row>
    <row r="5" spans="1:2">
      <c r="A5">
        <v>3</v>
      </c>
      <c r="B5" s="4">
        <v>-1</v>
      </c>
    </row>
    <row r="6" spans="1:2">
      <c r="A6">
        <v>4</v>
      </c>
      <c r="B6" s="4">
        <v>-1</v>
      </c>
    </row>
    <row r="7" spans="1:2">
      <c r="A7">
        <v>5</v>
      </c>
      <c r="B7" s="4">
        <v>-1</v>
      </c>
    </row>
    <row r="8" spans="1:2">
      <c r="A8">
        <v>6</v>
      </c>
      <c r="B8" s="4">
        <v>-0.95050241905470767</v>
      </c>
    </row>
    <row r="9" spans="1:2">
      <c r="A9">
        <v>7</v>
      </c>
      <c r="B9" s="4">
        <v>-0.6454949573855786</v>
      </c>
    </row>
    <row r="10" spans="1:2">
      <c r="A10">
        <v>8</v>
      </c>
      <c r="B10" s="4">
        <v>-0.36414470114856601</v>
      </c>
    </row>
    <row r="11" spans="1:2">
      <c r="A11">
        <v>9</v>
      </c>
      <c r="B11" s="4">
        <v>-7.1144380085606196E-2</v>
      </c>
    </row>
    <row r="12" spans="1:2">
      <c r="A12">
        <v>10</v>
      </c>
      <c r="B12" s="4">
        <v>-3.3806818181818271E-2</v>
      </c>
    </row>
    <row r="13" spans="1:2">
      <c r="A13">
        <v>11</v>
      </c>
      <c r="B13" s="4">
        <v>-1.7547282825716101E-2</v>
      </c>
    </row>
    <row r="14" spans="1:2">
      <c r="A14">
        <v>12</v>
      </c>
      <c r="B14" s="4">
        <v>-7.2813066695112776E-3</v>
      </c>
    </row>
    <row r="15" spans="1:2">
      <c r="A15">
        <v>13</v>
      </c>
      <c r="B15" s="4">
        <v>-2.6131298616819277E-3</v>
      </c>
    </row>
    <row r="16" spans="1:2">
      <c r="A16">
        <v>14</v>
      </c>
      <c r="B16" s="4">
        <v>-1.9691849764875992E-3</v>
      </c>
    </row>
    <row r="17" spans="1:2">
      <c r="A17">
        <v>15</v>
      </c>
      <c r="B17" s="4">
        <v>-1.0798837124662475E-3</v>
      </c>
    </row>
    <row r="18" spans="1:2">
      <c r="A18">
        <v>16</v>
      </c>
      <c r="B18" s="4">
        <v>-2.994129052390494E-4</v>
      </c>
    </row>
    <row r="19" spans="1:2">
      <c r="A19">
        <v>17</v>
      </c>
      <c r="B19" s="4">
        <v>-1.5505676249089271E-4</v>
      </c>
    </row>
    <row r="20" spans="1:2">
      <c r="A20">
        <v>18</v>
      </c>
      <c r="B20" s="4">
        <v>-9.6962039775701109E-5</v>
      </c>
    </row>
    <row r="21" spans="1:2">
      <c r="A21">
        <v>19</v>
      </c>
      <c r="B21" s="4">
        <v>-3.3608825765645289E-5</v>
      </c>
    </row>
    <row r="22" spans="1:2">
      <c r="A22">
        <v>20</v>
      </c>
      <c r="B22" s="4">
        <v>-1.3637986754044807E-5</v>
      </c>
    </row>
    <row r="23" spans="1:2">
      <c r="A23">
        <v>21</v>
      </c>
      <c r="B23" s="4">
        <v>-4.4348493874879604E-6</v>
      </c>
    </row>
    <row r="24" spans="1:2">
      <c r="A24">
        <v>22</v>
      </c>
      <c r="B24" s="4">
        <v>0</v>
      </c>
    </row>
    <row r="25" spans="1:2">
      <c r="A25">
        <v>23</v>
      </c>
      <c r="B25" s="4">
        <v>0</v>
      </c>
    </row>
    <row r="26" spans="1:2">
      <c r="A26">
        <v>24</v>
      </c>
      <c r="B26" s="4">
        <v>0</v>
      </c>
    </row>
    <row r="27" spans="1:2">
      <c r="A27">
        <v>25</v>
      </c>
      <c r="B27" s="4">
        <v>0</v>
      </c>
    </row>
    <row r="28" spans="1:2">
      <c r="A28">
        <v>26</v>
      </c>
      <c r="B28" s="4">
        <v>0</v>
      </c>
    </row>
    <row r="29" spans="1:2">
      <c r="A29">
        <v>27</v>
      </c>
      <c r="B29" s="4">
        <v>0</v>
      </c>
    </row>
    <row r="30" spans="1:2">
      <c r="A30">
        <v>28</v>
      </c>
      <c r="B30" s="4">
        <v>0</v>
      </c>
    </row>
    <row r="31" spans="1:2">
      <c r="A31">
        <v>29</v>
      </c>
      <c r="B31" s="4">
        <v>0</v>
      </c>
    </row>
    <row r="32" spans="1:2">
      <c r="A32">
        <v>30</v>
      </c>
      <c r="B32" s="4">
        <v>0</v>
      </c>
    </row>
    <row r="33" spans="1:2">
      <c r="A33">
        <v>31</v>
      </c>
      <c r="B33" s="4">
        <v>0</v>
      </c>
    </row>
    <row r="34" spans="1:2">
      <c r="A34">
        <v>32</v>
      </c>
      <c r="B34" s="4">
        <v>0</v>
      </c>
    </row>
    <row r="35" spans="1:2">
      <c r="A35">
        <v>33</v>
      </c>
      <c r="B35" s="4">
        <v>0</v>
      </c>
    </row>
    <row r="36" spans="1:2">
      <c r="A36">
        <v>34</v>
      </c>
      <c r="B36" s="4">
        <v>0</v>
      </c>
    </row>
    <row r="37" spans="1:2">
      <c r="A37">
        <v>35</v>
      </c>
      <c r="B37" s="4">
        <v>0</v>
      </c>
    </row>
    <row r="38" spans="1:2">
      <c r="A38">
        <v>36</v>
      </c>
      <c r="B38" s="4">
        <v>0</v>
      </c>
    </row>
    <row r="39" spans="1:2">
      <c r="A39">
        <v>37</v>
      </c>
      <c r="B39" s="4">
        <v>0</v>
      </c>
    </row>
    <row r="40" spans="1:2">
      <c r="A40">
        <v>38</v>
      </c>
      <c r="B40" s="4">
        <v>0</v>
      </c>
    </row>
    <row r="41" spans="1:2">
      <c r="A41">
        <v>39</v>
      </c>
      <c r="B41" s="4">
        <v>0</v>
      </c>
    </row>
    <row r="42" spans="1:2">
      <c r="A42">
        <v>40</v>
      </c>
      <c r="B42" s="4">
        <v>0</v>
      </c>
    </row>
    <row r="43" spans="1:2">
      <c r="A43">
        <v>41</v>
      </c>
      <c r="B43" s="4">
        <v>0</v>
      </c>
    </row>
    <row r="44" spans="1:2">
      <c r="A44">
        <v>42</v>
      </c>
      <c r="B44" s="4">
        <v>0</v>
      </c>
    </row>
    <row r="45" spans="1:2">
      <c r="A45">
        <v>43</v>
      </c>
      <c r="B45" s="4">
        <v>0</v>
      </c>
    </row>
    <row r="46" spans="1:2">
      <c r="A46">
        <v>44</v>
      </c>
      <c r="B46" s="4">
        <v>0</v>
      </c>
    </row>
    <row r="47" spans="1:2">
      <c r="A47">
        <v>45</v>
      </c>
      <c r="B47" s="4">
        <v>0</v>
      </c>
    </row>
    <row r="48" spans="1:2">
      <c r="A48">
        <v>46</v>
      </c>
      <c r="B48" s="4">
        <v>0</v>
      </c>
    </row>
    <row r="49" spans="1:2">
      <c r="A49">
        <v>47</v>
      </c>
      <c r="B49" s="4">
        <v>0</v>
      </c>
    </row>
    <row r="50" spans="1:2">
      <c r="A50">
        <v>48</v>
      </c>
      <c r="B50" s="4">
        <v>0</v>
      </c>
    </row>
    <row r="51" spans="1:2">
      <c r="A51">
        <v>49</v>
      </c>
      <c r="B51" s="4">
        <v>0</v>
      </c>
    </row>
    <row r="52" spans="1:2">
      <c r="A52">
        <v>50</v>
      </c>
      <c r="B52" s="4">
        <v>0</v>
      </c>
    </row>
    <row r="53" spans="1:2">
      <c r="A53">
        <v>51</v>
      </c>
      <c r="B53" s="4">
        <v>0</v>
      </c>
    </row>
    <row r="54" spans="1:2">
      <c r="A54">
        <v>52</v>
      </c>
      <c r="B54" s="4">
        <v>0</v>
      </c>
    </row>
    <row r="55" spans="1:2">
      <c r="A55">
        <v>53</v>
      </c>
      <c r="B55" s="4">
        <v>0</v>
      </c>
    </row>
    <row r="56" spans="1:2">
      <c r="A56">
        <v>54</v>
      </c>
      <c r="B56" s="4">
        <v>0</v>
      </c>
    </row>
    <row r="57" spans="1:2">
      <c r="A57">
        <v>55</v>
      </c>
      <c r="B57" s="4">
        <v>0</v>
      </c>
    </row>
    <row r="58" spans="1:2">
      <c r="A58">
        <v>56</v>
      </c>
      <c r="B58" s="4">
        <v>0</v>
      </c>
    </row>
    <row r="59" spans="1:2">
      <c r="A59">
        <v>57</v>
      </c>
      <c r="B59" s="4">
        <v>0</v>
      </c>
    </row>
    <row r="60" spans="1:2">
      <c r="A60">
        <v>58</v>
      </c>
      <c r="B60" s="4">
        <v>0</v>
      </c>
    </row>
    <row r="61" spans="1:2">
      <c r="A61">
        <v>59</v>
      </c>
      <c r="B61" s="4">
        <v>0</v>
      </c>
    </row>
    <row r="62" spans="1:2">
      <c r="A62">
        <v>60</v>
      </c>
      <c r="B62" s="4">
        <v>0</v>
      </c>
    </row>
    <row r="63" spans="1:2">
      <c r="A63">
        <v>61</v>
      </c>
      <c r="B63" s="4">
        <v>0</v>
      </c>
    </row>
    <row r="64" spans="1:2">
      <c r="A64">
        <v>62</v>
      </c>
      <c r="B64" s="4">
        <v>0</v>
      </c>
    </row>
    <row r="65" spans="1:2">
      <c r="A65">
        <v>63</v>
      </c>
      <c r="B65" s="4">
        <v>0</v>
      </c>
    </row>
    <row r="66" spans="1:2">
      <c r="A66">
        <v>64</v>
      </c>
      <c r="B66" s="4">
        <v>0</v>
      </c>
    </row>
    <row r="67" spans="1:2">
      <c r="A67">
        <v>65</v>
      </c>
      <c r="B67" s="4">
        <v>0</v>
      </c>
    </row>
    <row r="68" spans="1:2">
      <c r="A68">
        <v>66</v>
      </c>
      <c r="B68" s="4">
        <v>0</v>
      </c>
    </row>
    <row r="69" spans="1:2">
      <c r="A69">
        <v>67</v>
      </c>
      <c r="B69" s="4">
        <v>0</v>
      </c>
    </row>
    <row r="70" spans="1:2">
      <c r="A70">
        <v>68</v>
      </c>
      <c r="B70" s="4">
        <v>0</v>
      </c>
    </row>
    <row r="71" spans="1:2">
      <c r="A71">
        <v>69</v>
      </c>
      <c r="B71" s="4">
        <v>0</v>
      </c>
    </row>
    <row r="72" spans="1:2">
      <c r="A72">
        <v>70</v>
      </c>
      <c r="B72" s="4">
        <v>0</v>
      </c>
    </row>
    <row r="73" spans="1:2">
      <c r="A73">
        <v>71</v>
      </c>
      <c r="B73" s="4">
        <v>0</v>
      </c>
    </row>
    <row r="74" spans="1:2">
      <c r="A74">
        <v>72</v>
      </c>
      <c r="B74" s="4">
        <v>0</v>
      </c>
    </row>
    <row r="75" spans="1:2">
      <c r="A75">
        <v>73</v>
      </c>
      <c r="B75" s="4">
        <v>0</v>
      </c>
    </row>
    <row r="76" spans="1:2">
      <c r="A76">
        <v>74</v>
      </c>
      <c r="B76" s="4">
        <v>0</v>
      </c>
    </row>
    <row r="77" spans="1:2">
      <c r="A77">
        <v>75</v>
      </c>
      <c r="B77" s="4">
        <v>0</v>
      </c>
    </row>
    <row r="78" spans="1:2">
      <c r="A78">
        <v>76</v>
      </c>
      <c r="B78" s="4">
        <v>0</v>
      </c>
    </row>
    <row r="79" spans="1:2">
      <c r="A79">
        <v>77</v>
      </c>
      <c r="B79" s="4">
        <v>0</v>
      </c>
    </row>
    <row r="80" spans="1:2">
      <c r="A80">
        <v>78</v>
      </c>
      <c r="B80" s="4">
        <v>0</v>
      </c>
    </row>
    <row r="81" spans="1:2">
      <c r="A81">
        <v>79</v>
      </c>
      <c r="B81" s="4">
        <v>0</v>
      </c>
    </row>
    <row r="82" spans="1:2">
      <c r="A82">
        <v>80</v>
      </c>
      <c r="B82" s="4">
        <v>0</v>
      </c>
    </row>
    <row r="83" spans="1:2">
      <c r="A83">
        <v>81</v>
      </c>
      <c r="B83" s="4">
        <v>0</v>
      </c>
    </row>
    <row r="84" spans="1:2">
      <c r="A84">
        <v>82</v>
      </c>
      <c r="B84" s="4">
        <v>0</v>
      </c>
    </row>
    <row r="85" spans="1:2">
      <c r="A85">
        <v>83</v>
      </c>
      <c r="B85" s="4">
        <v>0</v>
      </c>
    </row>
    <row r="86" spans="1:2">
      <c r="A86">
        <v>84</v>
      </c>
      <c r="B86" s="4">
        <v>0</v>
      </c>
    </row>
    <row r="87" spans="1:2">
      <c r="A87">
        <v>85</v>
      </c>
      <c r="B87" s="4">
        <v>0</v>
      </c>
    </row>
    <row r="88" spans="1:2">
      <c r="A88">
        <v>86</v>
      </c>
      <c r="B88" s="4">
        <v>0</v>
      </c>
    </row>
    <row r="89" spans="1:2">
      <c r="A89">
        <v>87</v>
      </c>
      <c r="B89" s="4">
        <v>0</v>
      </c>
    </row>
    <row r="90" spans="1:2">
      <c r="A90">
        <v>88</v>
      </c>
      <c r="B90" s="4">
        <v>0</v>
      </c>
    </row>
    <row r="91" spans="1:2">
      <c r="A91">
        <v>89</v>
      </c>
      <c r="B91" s="4">
        <v>1.5659244820889148E-5</v>
      </c>
    </row>
    <row r="92" spans="1:2">
      <c r="A92">
        <v>90</v>
      </c>
      <c r="B92" s="4">
        <v>3.3018189249612199E-5</v>
      </c>
    </row>
    <row r="93" spans="1:2">
      <c r="A93">
        <v>91</v>
      </c>
      <c r="B93" s="4">
        <v>8.2396930043562348E-5</v>
      </c>
    </row>
    <row r="94" spans="1:2">
      <c r="A94">
        <v>92</v>
      </c>
      <c r="B94" s="4">
        <v>8.7803001006125927E-5</v>
      </c>
    </row>
    <row r="95" spans="1:2">
      <c r="A95">
        <v>93</v>
      </c>
      <c r="B95" s="4">
        <v>1.0103456819958283E-4</v>
      </c>
    </row>
    <row r="96" spans="1:2">
      <c r="A96">
        <v>94</v>
      </c>
      <c r="B96" s="4">
        <v>1.5769927017448724E-4</v>
      </c>
    </row>
    <row r="97" spans="1:2">
      <c r="A97">
        <v>95</v>
      </c>
      <c r="B97" s="4">
        <v>3.12431517577508E-2</v>
      </c>
    </row>
    <row r="98" spans="1:2">
      <c r="A98">
        <v>96</v>
      </c>
      <c r="B98" s="4">
        <v>3.6834835608995996E-2</v>
      </c>
    </row>
    <row r="99" spans="1:2">
      <c r="A99">
        <v>97</v>
      </c>
      <c r="B99" s="4">
        <v>5.5564944950465697E-2</v>
      </c>
    </row>
    <row r="100" spans="1:2">
      <c r="A100">
        <v>98</v>
      </c>
      <c r="B100" s="4">
        <v>9.7053949270861195E-2</v>
      </c>
    </row>
    <row r="101" spans="1:2">
      <c r="A101">
        <v>99</v>
      </c>
      <c r="B101" s="4">
        <v>0.19018848374895897</v>
      </c>
    </row>
    <row r="102" spans="1:2">
      <c r="A102">
        <v>100</v>
      </c>
      <c r="B102" s="4">
        <v>0.208480565371025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2024-06-28T21:31:59Z</dcterms:created>
  <dcterms:modified xsi:type="dcterms:W3CDTF">2026-10-24T17:35:22Z</dcterms:modified>
  <cp:category/>
  <cp:contentStatus/>
</cp:coreProperties>
</file>